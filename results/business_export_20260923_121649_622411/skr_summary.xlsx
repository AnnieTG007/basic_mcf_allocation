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Sweep" sheetId="1" state="visible" r:id="rId1"/>
    <sheet name="PowerSweep" sheetId="2" state="visible" r:id="rId2"/>
    <sheet name="Runs" sheetId="3" state="visible" r:id="rId3"/>
    <sheet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E+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54B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Load sweep | 10.5 dBm/core/channel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'LoadSweep'!$A$2:$A$9</f>
            </numRef>
          </xVal>
          <yVal>
            <numRef>
              <f>'LoadSweep'!$N$2:$N$9</f>
            </numRef>
          </yVal>
        </ser>
        <ser>
          <idx val="1"/>
          <order val="1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'LoadSweep'!$A$2:$A$9</f>
            </numRef>
          </xVal>
          <yVal>
            <numRef>
              <f>'LoadSweep'!$AG$2:$AG$9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Three-core group traffic (Erlang)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52.27233269150232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Reference link OSNR (dB)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Load sweep | 10.5 dBm/core/channel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'LoadSweep'!$A$2:$A$9</f>
            </numRef>
          </xVal>
          <yVal>
            <numRef>
              <f>'LoadSweep'!$P$2:$P$9</f>
            </numRef>
          </yVal>
        </ser>
        <ser>
          <idx val="1"/>
          <order val="1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'LoadSweep'!$A$2:$A$9</f>
            </numRef>
          </xVal>
          <yVal>
            <numRef>
              <f>'LoadSweep'!$AI$2:$AI$9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Three-core group traffic (Erlang)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0.0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Reference synergy vs first-fit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Load sweep | 10.5 dBm/core/channel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'LoadSweep'!$A$2:$A$9</f>
            </numRef>
          </xVal>
          <yVal>
            <numRef>
              <f>'LoadSweep'!$D$2:$D$9</f>
            </numRef>
          </yVal>
        </ser>
        <ser>
          <idx val="1"/>
          <order val="1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'LoadSweep'!$A$2:$A$9</f>
            </numRef>
          </xVal>
          <yVal>
            <numRef>
              <f>'LoadSweep'!$W$2:$W$9</f>
            </numRef>
          </yVal>
        </ser>
        <ser>
          <idx val="2"/>
          <order val="2"/>
          <tx>
            <v>Max SKR gain: +107.2%</v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dLblPos val="b"/>
            <showLegendKey val="0"/>
            <showVal val="0"/>
            <showSerName val="1"/>
          </dLbls>
          <xVal>
            <numRef>
              <f>'LoadSweep'!$A$3</f>
            </numRef>
          </xVal>
          <yVal>
            <numRef>
              <f>'LoadSweep'!$W$3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Three-core group traffic (Erlang)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95.9328027797086"/>
          <min val="-201.7647109044208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link SKR per channel (kbit/s)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  <legendEntry>
        <idx val="2"/>
        <delete val="1"/>
      </legendEntry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Load sweep | 10.5 dBm/core/channel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'LoadSweep'!$A$2:$A$9</f>
            </numRef>
          </xVal>
          <yVal>
            <numRef>
              <f>'LoadSweep'!$F$2:$F$9</f>
            </numRef>
          </yVal>
        </ser>
        <ser>
          <idx val="1"/>
          <order val="1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'LoadSweep'!$A$2:$A$9</f>
            </numRef>
          </xVal>
          <yVal>
            <numRef>
              <f>'LoadSweep'!$Y$2:$Y$9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Three-core group traffic (Erlang)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0.8032442748091603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Classical blocking probability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Power sweep | 10 Erlang of three-core groups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'PowerSweep'!$B$2:$B$6</f>
            </numRef>
          </xVal>
          <yVal>
            <numRef>
              <f>'PowerSweep'!$N$2:$N$6</f>
            </numRef>
          </yVal>
        </ser>
        <ser>
          <idx val="1"/>
          <order val="1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'PowerSweep'!$B$2:$B$6</f>
            </numRef>
          </xVal>
          <yVal>
            <numRef>
              <f>'PowerSweep'!$AG$2:$AG$6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Power per core per channel (dBm)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52.27233269150232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Reference link OSNR (dB)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Power sweep | 10 Erlang of three-core groups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'PowerSweep'!$B$2:$B$6</f>
            </numRef>
          </xVal>
          <yVal>
            <numRef>
              <f>'PowerSweep'!$P$2:$P$6</f>
            </numRef>
          </yVal>
        </ser>
        <ser>
          <idx val="1"/>
          <order val="1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'PowerSweep'!$B$2:$B$6</f>
            </numRef>
          </xVal>
          <yVal>
            <numRef>
              <f>'PowerSweep'!$AI$2:$AI$6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Power per core per channel (dBm)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0.0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Reference synergy vs first-fit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Power sweep | 10 Erlang of three-core groups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'PowerSweep'!$B$2:$B$6</f>
            </numRef>
          </xVal>
          <yVal>
            <numRef>
              <f>'PowerSweep'!$D$2:$D$6</f>
            </numRef>
          </yVal>
        </ser>
        <ser>
          <idx val="1"/>
          <order val="1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'PowerSweep'!$B$2:$B$6</f>
            </numRef>
          </xVal>
          <yVal>
            <numRef>
              <f>'PowerSweep'!$W$2:$W$6</f>
            </numRef>
          </yVal>
        </ser>
        <ser>
          <idx val="2"/>
          <order val="2"/>
          <tx>
            <v>Max SKR gain: +107.2%</v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dLblPos val="b"/>
            <showLegendKey val="0"/>
            <showVal val="0"/>
            <showSerName val="1"/>
          </dLbls>
          <xVal>
            <numRef>
              <f>'PowerSweep'!$B$6</f>
            </numRef>
          </xVal>
          <yVal>
            <numRef>
              <f>'PowerSweep'!$W$6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Power per core per channel (dBm)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95.9328027797086"/>
          <min val="-201.7647109044208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link SKR per channel (kbit/s)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  <legendEntry>
        <idx val="2"/>
        <delete val="1"/>
      </legendEntry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Power sweep | 10 Erlang of three-core groups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'PowerSweep'!$B$2:$B$6</f>
            </numRef>
          </xVal>
          <yVal>
            <numRef>
              <f>'PowerSweep'!$F$2:$F$6</f>
            </numRef>
          </yVal>
        </ser>
        <ser>
          <idx val="1"/>
          <order val="1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'PowerSweep'!$B$2:$B$6</f>
            </numRef>
          </xVal>
          <yVal>
            <numRef>
              <f>'PowerSweep'!$Y$2:$Y$6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Power per core per channel (dBm)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0.8032442748091603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Classical blocking probability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chart" Target="/xl/charts/chart8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0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40</row>
      <rowOff>0</rowOff>
    </from>
    <ext cx="900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68</row>
      <rowOff>0</rowOff>
    </from>
    <ext cx="9000000" cy="46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96</row>
      <rowOff>0</rowOff>
    </from>
    <ext cx="9000000" cy="46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90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37</row>
      <rowOff>0</rowOff>
    </from>
    <ext cx="900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65</row>
      <rowOff>0</rowOff>
    </from>
    <ext cx="9000000" cy="46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93</row>
      <rowOff>0</rowOff>
    </from>
    <ext cx="9000000" cy="46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LoadSweepTable" displayName="LoadSweepTable" ref="A1:AO9" headerRowCount="1">
  <autoFilter ref="A1:AO9"/>
  <tableColumns count="41">
    <tableColumn id="1" name="load_erlang"/>
    <tableColumn id="2" name="power_dbm"/>
    <tableColumn id="3" name="ff_seed_count"/>
    <tableColumn id="4" name="ff_skr_kbit_s"/>
    <tableColumn id="5" name="ff_skr_sd_kbit_s"/>
    <tableColumn id="6" name="ff_blocking_rate"/>
    <tableColumn id="7" name="ff_blocking_rate_sd"/>
    <tableColumn id="8" name="ff_carried_load_erlang"/>
    <tableColumn id="9" name="ff_carried_load_erlang_sd"/>
    <tableColumn id="10" name="ff_zero_skr_fraction_mean"/>
    <tableColumn id="11" name="ff_zero_skr_fraction_mean_sd"/>
    <tableColumn id="12" name="ff_osnr_linear_mean"/>
    <tableColumn id="13" name="ff_osnr_linear_mean_sd"/>
    <tableColumn id="14" name="ff_osnr_db_mean"/>
    <tableColumn id="15" name="ff_osnr_db_mean_sd"/>
    <tableColumn id="16" name="ff_synergy_vs_FF"/>
    <tableColumn id="17" name="ff_synergy_vs_FF_sd"/>
    <tableColumn id="18" name="ff_delta_osnr_linear_vs_FF"/>
    <tableColumn id="19" name="ff_delta_osnr_linear_vs_FF_sd"/>
    <tableColumn id="20" name="ff_delta_skr_vs_FF"/>
    <tableColumn id="21" name="ff_delta_skr_vs_FF_sd"/>
    <tableColumn id="22" name="greedy_seed_count"/>
    <tableColumn id="23" name="greedy_skr_kbit_s"/>
    <tableColumn id="24" name="greedy_skr_sd_kbit_s"/>
    <tableColumn id="25" name="greedy_blocking_rate"/>
    <tableColumn id="26" name="greedy_blocking_rate_sd"/>
    <tableColumn id="27" name="greedy_carried_load_erlang"/>
    <tableColumn id="28" name="greedy_carried_load_erlang_sd"/>
    <tableColumn id="29" name="greedy_zero_skr_fraction_mean"/>
    <tableColumn id="30" name="greedy_zero_skr_fraction_mean_sd"/>
    <tableColumn id="31" name="greedy_osnr_linear_mean"/>
    <tableColumn id="32" name="greedy_osnr_linear_mean_sd"/>
    <tableColumn id="33" name="greedy_osnr_db_mean"/>
    <tableColumn id="34" name="greedy_osnr_db_mean_sd"/>
    <tableColumn id="35" name="greedy_synergy_vs_FF"/>
    <tableColumn id="36" name="greedy_synergy_vs_FF_sd"/>
    <tableColumn id="37" name="greedy_delta_osnr_linear_vs_FF"/>
    <tableColumn id="38" name="greedy_delta_osnr_linear_vs_FF_sd"/>
    <tableColumn id="39" name="greedy_delta_skr_vs_FF"/>
    <tableColumn id="40" name="greedy_delta_skr_vs_FF_sd"/>
    <tableColumn id="41" name="gain_vs_FF"/>
  </tableColumns>
  <tableStyleInfo name="TableStyleMedium2" showRowStripes="1"/>
</table>
</file>

<file path=xl/tables/table2.xml><?xml version="1.0" encoding="utf-8"?>
<table xmlns="http://schemas.openxmlformats.org/spreadsheetml/2006/main" id="2" name="PowerSweepTable" displayName="PowerSweepTable" ref="A1:AO6" headerRowCount="1">
  <autoFilter ref="A1:AO6"/>
  <tableColumns count="41">
    <tableColumn id="1" name="load_erlang"/>
    <tableColumn id="2" name="power_dbm"/>
    <tableColumn id="3" name="ff_seed_count"/>
    <tableColumn id="4" name="ff_skr_kbit_s"/>
    <tableColumn id="5" name="ff_skr_sd_kbit_s"/>
    <tableColumn id="6" name="ff_blocking_rate"/>
    <tableColumn id="7" name="ff_blocking_rate_sd"/>
    <tableColumn id="8" name="ff_carried_load_erlang"/>
    <tableColumn id="9" name="ff_carried_load_erlang_sd"/>
    <tableColumn id="10" name="ff_zero_skr_fraction_mean"/>
    <tableColumn id="11" name="ff_zero_skr_fraction_mean_sd"/>
    <tableColumn id="12" name="ff_osnr_linear_mean"/>
    <tableColumn id="13" name="ff_osnr_linear_mean_sd"/>
    <tableColumn id="14" name="ff_osnr_db_mean"/>
    <tableColumn id="15" name="ff_osnr_db_mean_sd"/>
    <tableColumn id="16" name="ff_synergy_vs_FF"/>
    <tableColumn id="17" name="ff_synergy_vs_FF_sd"/>
    <tableColumn id="18" name="ff_delta_osnr_linear_vs_FF"/>
    <tableColumn id="19" name="ff_delta_osnr_linear_vs_FF_sd"/>
    <tableColumn id="20" name="ff_delta_skr_vs_FF"/>
    <tableColumn id="21" name="ff_delta_skr_vs_FF_sd"/>
    <tableColumn id="22" name="greedy_seed_count"/>
    <tableColumn id="23" name="greedy_skr_kbit_s"/>
    <tableColumn id="24" name="greedy_skr_sd_kbit_s"/>
    <tableColumn id="25" name="greedy_blocking_rate"/>
    <tableColumn id="26" name="greedy_blocking_rate_sd"/>
    <tableColumn id="27" name="greedy_carried_load_erlang"/>
    <tableColumn id="28" name="greedy_carried_load_erlang_sd"/>
    <tableColumn id="29" name="greedy_zero_skr_fraction_mean"/>
    <tableColumn id="30" name="greedy_zero_skr_fraction_mean_sd"/>
    <tableColumn id="31" name="greedy_osnr_linear_mean"/>
    <tableColumn id="32" name="greedy_osnr_linear_mean_sd"/>
    <tableColumn id="33" name="greedy_osnr_db_mean"/>
    <tableColumn id="34" name="greedy_osnr_db_mean_sd"/>
    <tableColumn id="35" name="greedy_synergy_vs_FF"/>
    <tableColumn id="36" name="greedy_synergy_vs_FF_sd"/>
    <tableColumn id="37" name="greedy_delta_osnr_linear_vs_FF"/>
    <tableColumn id="38" name="greedy_delta_osnr_linear_vs_FF_sd"/>
    <tableColumn id="39" name="greedy_delta_skr_vs_FF"/>
    <tableColumn id="40" name="greedy_delta_skr_vs_FF_sd"/>
    <tableColumn id="41" name="gain_vs_FF"/>
  </tableColumns>
  <tableStyleInfo name="TableStyleMedium2" showRowStripes="1"/>
</table>
</file>

<file path=xl/tables/table3.xml><?xml version="1.0" encoding="utf-8"?>
<table xmlns="http://schemas.openxmlformats.org/spreadsheetml/2006/main" id="3" name="RunsTable" displayName="RunsTable" ref="A1:AO27" headerRowCount="1">
  <autoFilter ref="A1:AO27"/>
  <tableColumns count="41">
    <tableColumn id="1" name="group"/>
    <tableColumn id="2" name="algorithm"/>
    <tableColumn id="3" name="load_erlang"/>
    <tableColumn id="4" name="power_dbm"/>
    <tableColumn id="5" name="seed"/>
    <tableColumn id="6" name="skr_mean"/>
    <tableColumn id="7" name="raw_skr_mean"/>
    <tableColumn id="8" name="no_fwm_skr_mean"/>
    <tableColumn id="9" name="zero_noise_skr_mean"/>
    <tableColumn id="10" name="raman_w_mean"/>
    <tableColumn id="11" name="fwm_w_mean"/>
    <tableColumn id="12" name="noise_counts_mean"/>
    <tableColumn id="13" name="active_services_mean"/>
    <tableColumn id="14" name="occupied_channels_mean"/>
    <tableColumn id="15" name="zero_skr_fraction_mean"/>
    <tableColumn id="16" name="osnr_linear_mean"/>
    <tableColumn id="17" name="zero_xt_channels_mean"/>
    <tableColumn id="18" name="classical_received_power_w_mean"/>
    <tableColumn id="19" name="classical_noise_power_w_mean"/>
    <tableColumn id="20" name="classical_noise_per_channel_w_mean"/>
    <tableColumn id="21" name="classical_xt_w_mean"/>
    <tableColumn id="22" name="classical_floor_w_mean"/>
    <tableColumn id="23" name="osnr_idle_slots"/>
    <tableColumn id="24" name="osnr_db_mean"/>
    <tableColumn id="25" name="osnr_valid_samples"/>
    <tableColumn id="26" name="observed_link"/>
    <tableColumn id="27" name="observed_length_m"/>
    <tableColumn id="28" name="observed_quantum_channels"/>
    <tableColumn id="29" name="offered"/>
    <tableColumn id="30" name="accepted"/>
    <tableColumn id="31" name="blocked"/>
    <tableColumn id="32" name="blocking_rate"/>
    <tableColumn id="33" name="carried_load_erlang"/>
    <tableColumn id="34" name="channel_utilization"/>
    <tableColumn id="35" name="capacity"/>
    <tableColumn id="36" name="samples"/>
    <tableColumn id="37" name="traffic_sha256"/>
    <tableColumn id="38" name="runtime_s"/>
    <tableColumn id="39" name="synergy_vs_FF"/>
    <tableColumn id="40" name="delta_osnr_linear_vs_FF"/>
    <tableColumn id="41" name="delta_skr_vs_FF"/>
  </tableColumns>
  <tableStyleInfo name="TableStyleMedium2" showRowStripes="1"/>
</table>
</file>

<file path=xl/tables/table4.xml><?xml version="1.0" encoding="utf-8"?>
<table xmlns="http://schemas.openxmlformats.org/spreadsheetml/2006/main" id="4" name="ConfigTable" displayName="ConfigTable" ref="A1:B50" headerRowCount="1">
  <autoFilter ref="A1:B50"/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18" customWidth="1" min="6" max="6"/>
    <col width="21" customWidth="1" min="7" max="7"/>
    <col width="24" customWidth="1" min="8" max="8"/>
    <col width="27" customWidth="1" min="9" max="9"/>
    <col width="27" customWidth="1" min="10" max="10"/>
    <col width="30" customWidth="1" min="11" max="11"/>
    <col width="21" customWidth="1" min="12" max="12"/>
    <col width="24" customWidth="1" min="13" max="13"/>
    <col width="17" customWidth="1" min="14" max="14"/>
    <col width="20" customWidth="1" min="15" max="15"/>
    <col width="18" customWidth="1" min="16" max="16"/>
    <col width="21" customWidth="1" min="17" max="17"/>
    <col width="28" customWidth="1" min="18" max="18"/>
    <col width="30" customWidth="1" min="19" max="19"/>
    <col width="20" customWidth="1" min="20" max="20"/>
    <col width="23" customWidth="1" min="21" max="21"/>
    <col width="19" customWidth="1" min="22" max="22"/>
    <col width="19" customWidth="1" min="23" max="23"/>
    <col width="22" customWidth="1" min="24" max="24"/>
    <col width="22" customWidth="1" min="25" max="25"/>
    <col width="25" customWidth="1" min="26" max="26"/>
    <col width="28" customWidth="1" min="27" max="27"/>
    <col width="30" customWidth="1" min="28" max="28"/>
    <col width="30" customWidth="1" min="29" max="29"/>
    <col width="30" customWidth="1" min="30" max="30"/>
    <col width="25" customWidth="1" min="31" max="31"/>
    <col width="28" customWidth="1" min="32" max="32"/>
    <col width="21" customWidth="1" min="33" max="33"/>
    <col width="24" customWidth="1" min="34" max="34"/>
    <col width="22" customWidth="1" min="35" max="35"/>
    <col width="25" customWidth="1" min="36" max="36"/>
    <col width="30" customWidth="1" min="37" max="37"/>
    <col width="30" customWidth="1" min="38" max="38"/>
    <col width="24" customWidth="1" min="39" max="39"/>
    <col width="27" customWidth="1" min="40" max="40"/>
    <col width="15" customWidth="1" min="41" max="41"/>
  </cols>
  <sheetData>
    <row r="1" ht="42" customHeight="1">
      <c r="A1" s="1" t="inlineStr">
        <is>
          <t>load_erlang</t>
        </is>
      </c>
      <c r="B1" s="1" t="inlineStr">
        <is>
          <t>power_dbm</t>
        </is>
      </c>
      <c r="C1" s="1" t="inlineStr">
        <is>
          <t>ff_seed_count</t>
        </is>
      </c>
      <c r="D1" s="1" t="inlineStr">
        <is>
          <t>ff_skr_kbit_s</t>
        </is>
      </c>
      <c r="E1" s="1" t="inlineStr">
        <is>
          <t>ff_skr_sd_kbit_s</t>
        </is>
      </c>
      <c r="F1" s="1" t="inlineStr">
        <is>
          <t>ff_blocking_rate</t>
        </is>
      </c>
      <c r="G1" s="1" t="inlineStr">
        <is>
          <t>ff_blocking_rate_sd</t>
        </is>
      </c>
      <c r="H1" s="1" t="inlineStr">
        <is>
          <t>ff_carried_load_erlang</t>
        </is>
      </c>
      <c r="I1" s="1" t="inlineStr">
        <is>
          <t>ff_carried_load_erlang_sd</t>
        </is>
      </c>
      <c r="J1" s="1" t="inlineStr">
        <is>
          <t>ff_zero_skr_fraction_mean</t>
        </is>
      </c>
      <c r="K1" s="1" t="inlineStr">
        <is>
          <t>ff_zero_skr_fraction_mean_sd</t>
        </is>
      </c>
      <c r="L1" s="1" t="inlineStr">
        <is>
          <t>ff_osnr_linear_mean</t>
        </is>
      </c>
      <c r="M1" s="1" t="inlineStr">
        <is>
          <t>ff_osnr_linear_mean_sd</t>
        </is>
      </c>
      <c r="N1" s="1" t="inlineStr">
        <is>
          <t>ff_osnr_db_mean</t>
        </is>
      </c>
      <c r="O1" s="1" t="inlineStr">
        <is>
          <t>ff_osnr_db_mean_sd</t>
        </is>
      </c>
      <c r="P1" s="1" t="inlineStr">
        <is>
          <t>ff_synergy_vs_FF</t>
        </is>
      </c>
      <c r="Q1" s="1" t="inlineStr">
        <is>
          <t>ff_synergy_vs_FF_sd</t>
        </is>
      </c>
      <c r="R1" s="1" t="inlineStr">
        <is>
          <t>ff_delta_osnr_linear_vs_FF</t>
        </is>
      </c>
      <c r="S1" s="1" t="inlineStr">
        <is>
          <t>ff_delta_osnr_linear_vs_FF_sd</t>
        </is>
      </c>
      <c r="T1" s="1" t="inlineStr">
        <is>
          <t>ff_delta_skr_vs_FF</t>
        </is>
      </c>
      <c r="U1" s="1" t="inlineStr">
        <is>
          <t>ff_delta_skr_vs_FF_sd</t>
        </is>
      </c>
      <c r="V1" s="1" t="inlineStr">
        <is>
          <t>greedy_seed_count</t>
        </is>
      </c>
      <c r="W1" s="1" t="inlineStr">
        <is>
          <t>greedy_skr_kbit_s</t>
        </is>
      </c>
      <c r="X1" s="1" t="inlineStr">
        <is>
          <t>greedy_skr_sd_kbit_s</t>
        </is>
      </c>
      <c r="Y1" s="1" t="inlineStr">
        <is>
          <t>greedy_blocking_rate</t>
        </is>
      </c>
      <c r="Z1" s="1" t="inlineStr">
        <is>
          <t>greedy_blocking_rate_sd</t>
        </is>
      </c>
      <c r="AA1" s="1" t="inlineStr">
        <is>
          <t>greedy_carried_load_erlang</t>
        </is>
      </c>
      <c r="AB1" s="1" t="inlineStr">
        <is>
          <t>greedy_carried_load_erlang_sd</t>
        </is>
      </c>
      <c r="AC1" s="1" t="inlineStr">
        <is>
          <t>greedy_zero_skr_fraction_mean</t>
        </is>
      </c>
      <c r="AD1" s="1" t="inlineStr">
        <is>
          <t>greedy_zero_skr_fraction_mean_sd</t>
        </is>
      </c>
      <c r="AE1" s="1" t="inlineStr">
        <is>
          <t>greedy_osnr_linear_mean</t>
        </is>
      </c>
      <c r="AF1" s="1" t="inlineStr">
        <is>
          <t>greedy_osnr_linear_mean_sd</t>
        </is>
      </c>
      <c r="AG1" s="1" t="inlineStr">
        <is>
          <t>greedy_osnr_db_mean</t>
        </is>
      </c>
      <c r="AH1" s="1" t="inlineStr">
        <is>
          <t>greedy_osnr_db_mean_sd</t>
        </is>
      </c>
      <c r="AI1" s="1" t="inlineStr">
        <is>
          <t>greedy_synergy_vs_FF</t>
        </is>
      </c>
      <c r="AJ1" s="1" t="inlineStr">
        <is>
          <t>greedy_synergy_vs_FF_sd</t>
        </is>
      </c>
      <c r="AK1" s="1" t="inlineStr">
        <is>
          <t>greedy_delta_osnr_linear_vs_FF</t>
        </is>
      </c>
      <c r="AL1" s="1" t="inlineStr">
        <is>
          <t>greedy_delta_osnr_linear_vs_FF_sd</t>
        </is>
      </c>
      <c r="AM1" s="1" t="inlineStr">
        <is>
          <t>greedy_delta_skr_vs_FF</t>
        </is>
      </c>
      <c r="AN1" s="1" t="inlineStr">
        <is>
          <t>greedy_delta_skr_vs_FF_sd</t>
        </is>
      </c>
      <c r="AO1" s="1" t="inlineStr">
        <is>
          <t>gain_vs_FF</t>
        </is>
      </c>
    </row>
    <row r="2">
      <c r="A2" s="2" t="n">
        <v>5</v>
      </c>
      <c r="B2" s="2" t="n">
        <v>10.5</v>
      </c>
      <c r="C2" s="3" t="n">
        <v>1</v>
      </c>
      <c r="D2" s="2" t="n">
        <v>366.0200787463664</v>
      </c>
      <c r="E2" s="3" t="n"/>
      <c r="F2" s="4" t="n">
        <v>0</v>
      </c>
      <c r="G2" s="3" t="n"/>
      <c r="H2" s="2" t="n">
        <v>5.800854958508685</v>
      </c>
      <c r="I2" s="3" t="n"/>
      <c r="J2" s="4" t="n">
        <v>0</v>
      </c>
      <c r="K2" s="3" t="n"/>
      <c r="L2" s="2" t="n">
        <v>69188.00446460809</v>
      </c>
      <c r="M2" s="3" t="n"/>
      <c r="N2" s="2" t="n">
        <v>48.40030804768733</v>
      </c>
      <c r="O2" s="3" t="n"/>
      <c r="P2" s="2" t="n">
        <v>0</v>
      </c>
      <c r="Q2" s="3" t="n"/>
      <c r="R2" s="2" t="n">
        <v>0</v>
      </c>
      <c r="S2" s="3" t="n"/>
      <c r="T2" s="2" t="n">
        <v>0</v>
      </c>
      <c r="U2" s="3" t="n"/>
      <c r="V2" s="3" t="n">
        <v>1</v>
      </c>
      <c r="W2" s="2" t="n">
        <v>366.6044470182487</v>
      </c>
      <c r="X2" s="3" t="n"/>
      <c r="Y2" s="4" t="n">
        <v>0</v>
      </c>
      <c r="Z2" s="3" t="n"/>
      <c r="AA2" s="2" t="n">
        <v>5.800854958508685</v>
      </c>
      <c r="AB2" s="3" t="n"/>
      <c r="AC2" s="4" t="n">
        <v>0</v>
      </c>
      <c r="AD2" s="3" t="n"/>
      <c r="AE2" s="2" t="n">
        <v>69188.00446460809</v>
      </c>
      <c r="AF2" s="3" t="n"/>
      <c r="AG2" s="2" t="n">
        <v>48.40030804768733</v>
      </c>
      <c r="AH2" s="3" t="n"/>
      <c r="AI2" s="2" t="n">
        <v>0</v>
      </c>
      <c r="AJ2" s="3" t="n"/>
      <c r="AK2" s="2" t="n">
        <v>0</v>
      </c>
      <c r="AL2" s="3" t="n"/>
      <c r="AM2" s="2" t="n">
        <v>584.3682718822965</v>
      </c>
      <c r="AN2" s="3" t="n"/>
      <c r="AO2" s="4" t="n">
        <v>0.001596547036118334</v>
      </c>
    </row>
    <row r="3">
      <c r="A3" s="2" t="n">
        <v>10</v>
      </c>
      <c r="B3" s="2" t="n">
        <v>10.5</v>
      </c>
      <c r="C3" s="3" t="n">
        <v>1</v>
      </c>
      <c r="D3" s="2" t="n">
        <v>165.6750066540249</v>
      </c>
      <c r="E3" s="3" t="n"/>
      <c r="F3" s="4" t="n">
        <v>0.1304347826086956</v>
      </c>
      <c r="G3" s="3" t="n"/>
      <c r="H3" s="2" t="n">
        <v>9.550452969581453</v>
      </c>
      <c r="I3" s="3" t="n"/>
      <c r="J3" s="4" t="n">
        <v>0.28</v>
      </c>
      <c r="K3" s="3" t="n"/>
      <c r="L3" s="2" t="n">
        <v>69188.00446460805</v>
      </c>
      <c r="M3" s="3" t="n"/>
      <c r="N3" s="2" t="n">
        <v>48.40030804768733</v>
      </c>
      <c r="O3" s="3" t="n"/>
      <c r="P3" s="2" t="n">
        <v>0</v>
      </c>
      <c r="Q3" s="3" t="n"/>
      <c r="R3" s="2" t="n">
        <v>0</v>
      </c>
      <c r="S3" s="3" t="n"/>
      <c r="T3" s="2" t="n">
        <v>0</v>
      </c>
      <c r="U3" s="3" t="n"/>
      <c r="V3" s="3" t="n">
        <v>1</v>
      </c>
      <c r="W3" s="2" t="n">
        <v>343.2502295979065</v>
      </c>
      <c r="X3" s="3" t="n"/>
      <c r="Y3" s="4" t="n">
        <v>0.1304347826086956</v>
      </c>
      <c r="Z3" s="3" t="n"/>
      <c r="AA3" s="2" t="n">
        <v>9.550452969581453</v>
      </c>
      <c r="AB3" s="3" t="n"/>
      <c r="AC3" s="4" t="n">
        <v>0</v>
      </c>
      <c r="AD3" s="3" t="n"/>
      <c r="AE3" s="2" t="n">
        <v>69188.00446460805</v>
      </c>
      <c r="AF3" s="3" t="n"/>
      <c r="AG3" s="2" t="n">
        <v>48.40030804768733</v>
      </c>
      <c r="AH3" s="3" t="n"/>
      <c r="AI3" s="2" t="n">
        <v>0</v>
      </c>
      <c r="AJ3" s="3" t="n"/>
      <c r="AK3" s="2" t="n">
        <v>0</v>
      </c>
      <c r="AL3" s="3" t="n"/>
      <c r="AM3" s="2" t="n">
        <v>177575.2229438817</v>
      </c>
      <c r="AN3" s="3" t="n"/>
      <c r="AO3" s="4" t="n">
        <v>1.071828675490611</v>
      </c>
    </row>
    <row r="4">
      <c r="A4" s="2" t="n">
        <v>15</v>
      </c>
      <c r="B4" s="2" t="n">
        <v>10.5</v>
      </c>
      <c r="C4" s="3" t="n">
        <v>1</v>
      </c>
      <c r="D4" s="2" t="n">
        <v>-35.79988908593118</v>
      </c>
      <c r="E4" s="3" t="n"/>
      <c r="F4" s="4" t="n">
        <v>0.2233009708737864</v>
      </c>
      <c r="G4" s="3" t="n"/>
      <c r="H4" s="2" t="n">
        <v>11.56930713770683</v>
      </c>
      <c r="I4" s="3" t="n"/>
      <c r="J4" s="4" t="n">
        <v>0.64</v>
      </c>
      <c r="K4" s="3" t="n"/>
      <c r="L4" s="2" t="n">
        <v>69188.00446460804</v>
      </c>
      <c r="M4" s="3" t="n"/>
      <c r="N4" s="2" t="n">
        <v>48.40030804768733</v>
      </c>
      <c r="O4" s="3" t="n"/>
      <c r="P4" s="2" t="n">
        <v>0</v>
      </c>
      <c r="Q4" s="3" t="n"/>
      <c r="R4" s="2" t="n">
        <v>0</v>
      </c>
      <c r="S4" s="3" t="n"/>
      <c r="T4" s="2" t="n">
        <v>0</v>
      </c>
      <c r="U4" s="3" t="n"/>
      <c r="V4" s="3" t="n">
        <v>1</v>
      </c>
      <c r="W4" s="2" t="n">
        <v>326.1829877835257</v>
      </c>
      <c r="X4" s="3" t="n"/>
      <c r="Y4" s="4" t="n">
        <v>0.2233009708737864</v>
      </c>
      <c r="Z4" s="3" t="n"/>
      <c r="AA4" s="2" t="n">
        <v>11.56930713770683</v>
      </c>
      <c r="AB4" s="3" t="n"/>
      <c r="AC4" s="4" t="n">
        <v>0</v>
      </c>
      <c r="AD4" s="3" t="n"/>
      <c r="AE4" s="2" t="n">
        <v>69188.00446460802</v>
      </c>
      <c r="AF4" s="3" t="n"/>
      <c r="AG4" s="2" t="n">
        <v>48.40030804768733</v>
      </c>
      <c r="AH4" s="3" t="n"/>
      <c r="AI4" s="2" t="n">
        <v>7.201090638010454e-08</v>
      </c>
      <c r="AJ4" s="3" t="n"/>
      <c r="AK4" s="2" t="n">
        <v>-1.455191522836685e-11</v>
      </c>
      <c r="AL4" s="3" t="n"/>
      <c r="AM4" s="2" t="n">
        <v>361982.8768694569</v>
      </c>
      <c r="AN4" s="3" t="n"/>
      <c r="AO4" s="3" t="n"/>
    </row>
    <row r="5">
      <c r="A5" s="2" t="n">
        <v>20</v>
      </c>
      <c r="B5" s="2" t="n">
        <v>10.5</v>
      </c>
      <c r="C5" s="3" t="n">
        <v>1</v>
      </c>
      <c r="D5" s="2" t="n">
        <v>-77.239928960912</v>
      </c>
      <c r="E5" s="3" t="n"/>
      <c r="F5" s="4" t="n">
        <v>0.4347826086956522</v>
      </c>
      <c r="G5" s="3" t="n"/>
      <c r="H5" s="2" t="n">
        <v>12.19339868813206</v>
      </c>
      <c r="I5" s="3" t="n"/>
      <c r="J5" s="4" t="n">
        <v>0.72</v>
      </c>
      <c r="K5" s="3" t="n"/>
      <c r="L5" s="2" t="n">
        <v>69188.00446460801</v>
      </c>
      <c r="M5" s="3" t="n"/>
      <c r="N5" s="2" t="n">
        <v>48.40030804768733</v>
      </c>
      <c r="O5" s="3" t="n"/>
      <c r="P5" s="2" t="n">
        <v>0</v>
      </c>
      <c r="Q5" s="3" t="n"/>
      <c r="R5" s="2" t="n">
        <v>0</v>
      </c>
      <c r="S5" s="3" t="n"/>
      <c r="T5" s="2" t="n">
        <v>0</v>
      </c>
      <c r="U5" s="3" t="n"/>
      <c r="V5" s="3" t="n">
        <v>1</v>
      </c>
      <c r="W5" s="2" t="n">
        <v>321.6899449857196</v>
      </c>
      <c r="X5" s="3" t="n"/>
      <c r="Y5" s="4" t="n">
        <v>0.4347826086956522</v>
      </c>
      <c r="Z5" s="3" t="n"/>
      <c r="AA5" s="2" t="n">
        <v>12.19339868813206</v>
      </c>
      <c r="AB5" s="3" t="n"/>
      <c r="AC5" s="4" t="n">
        <v>0</v>
      </c>
      <c r="AD5" s="3" t="n"/>
      <c r="AE5" s="2" t="n">
        <v>69188.00446460801</v>
      </c>
      <c r="AF5" s="3" t="n"/>
      <c r="AG5" s="2" t="n">
        <v>48.40030804768733</v>
      </c>
      <c r="AH5" s="3" t="n"/>
      <c r="AI5" s="2" t="n">
        <v>0</v>
      </c>
      <c r="AJ5" s="3" t="n"/>
      <c r="AK5" s="2" t="n">
        <v>0</v>
      </c>
      <c r="AL5" s="3" t="n"/>
      <c r="AM5" s="2" t="n">
        <v>398929.8739466316</v>
      </c>
      <c r="AN5" s="3" t="n"/>
      <c r="AO5" s="3" t="n"/>
    </row>
    <row r="6">
      <c r="A6" s="2" t="n">
        <v>25</v>
      </c>
      <c r="B6" s="2" t="n">
        <v>10.5</v>
      </c>
      <c r="C6" s="3" t="n">
        <v>1</v>
      </c>
      <c r="D6" s="2" t="n">
        <v>-186.8191767633526</v>
      </c>
      <c r="E6" s="3" t="n"/>
      <c r="F6" s="4" t="n">
        <v>0.5266272189349113</v>
      </c>
      <c r="G6" s="3" t="n"/>
      <c r="H6" s="2" t="n">
        <v>13.16565567198684</v>
      </c>
      <c r="I6" s="3" t="n"/>
      <c r="J6" s="4" t="n">
        <v>0.96</v>
      </c>
      <c r="K6" s="3" t="n"/>
      <c r="L6" s="2" t="n">
        <v>69188.00446460802</v>
      </c>
      <c r="M6" s="3" t="n"/>
      <c r="N6" s="2" t="n">
        <v>48.40030804768733</v>
      </c>
      <c r="O6" s="3" t="n"/>
      <c r="P6" s="2" t="n">
        <v>0</v>
      </c>
      <c r="Q6" s="3" t="n"/>
      <c r="R6" s="2" t="n">
        <v>0</v>
      </c>
      <c r="S6" s="3" t="n"/>
      <c r="T6" s="2" t="n">
        <v>0</v>
      </c>
      <c r="U6" s="3" t="n"/>
      <c r="V6" s="3" t="n">
        <v>1</v>
      </c>
      <c r="W6" s="2" t="n">
        <v>310.117402912654</v>
      </c>
      <c r="X6" s="3" t="n"/>
      <c r="Y6" s="4" t="n">
        <v>0.5266272189349113</v>
      </c>
      <c r="Z6" s="3" t="n"/>
      <c r="AA6" s="2" t="n">
        <v>13.16565567198684</v>
      </c>
      <c r="AB6" s="3" t="n"/>
      <c r="AC6" s="4" t="n">
        <v>0</v>
      </c>
      <c r="AD6" s="3" t="n"/>
      <c r="AE6" s="2" t="n">
        <v>69188.00446460801</v>
      </c>
      <c r="AF6" s="3" t="n"/>
      <c r="AG6" s="2" t="n">
        <v>48.40030804768733</v>
      </c>
      <c r="AH6" s="3" t="n"/>
      <c r="AI6" s="2" t="n">
        <v>5.966089293151464e-08</v>
      </c>
      <c r="AJ6" s="3" t="n"/>
      <c r="AK6" s="2" t="n">
        <v>-1.455191522836685e-11</v>
      </c>
      <c r="AL6" s="3" t="n"/>
      <c r="AM6" s="2" t="n">
        <v>496936.5796760066</v>
      </c>
      <c r="AN6" s="3" t="n"/>
      <c r="AO6" s="3" t="n"/>
    </row>
    <row r="7">
      <c r="A7" s="2" t="n">
        <v>30</v>
      </c>
      <c r="B7" s="2" t="n">
        <v>10.5</v>
      </c>
      <c r="C7" s="3" t="n">
        <v>1</v>
      </c>
      <c r="D7" s="2" t="n">
        <v>-112.1690783986337</v>
      </c>
      <c r="E7" s="3" t="n"/>
      <c r="F7" s="4" t="n">
        <v>0.5631067961165048</v>
      </c>
      <c r="G7" s="3" t="n"/>
      <c r="H7" s="2" t="n">
        <v>12.75093988541052</v>
      </c>
      <c r="I7" s="3" t="n"/>
      <c r="J7" s="4" t="n">
        <v>0.76</v>
      </c>
      <c r="K7" s="3" t="n"/>
      <c r="L7" s="2" t="n">
        <v>69188.00446460804</v>
      </c>
      <c r="M7" s="3" t="n"/>
      <c r="N7" s="2" t="n">
        <v>48.40030804768733</v>
      </c>
      <c r="O7" s="3" t="n"/>
      <c r="P7" s="2" t="n">
        <v>0</v>
      </c>
      <c r="Q7" s="3" t="n"/>
      <c r="R7" s="2" t="n">
        <v>0</v>
      </c>
      <c r="S7" s="3" t="n"/>
      <c r="T7" s="2" t="n">
        <v>0</v>
      </c>
      <c r="U7" s="3" t="n"/>
      <c r="V7" s="3" t="n">
        <v>1</v>
      </c>
      <c r="W7" s="2" t="n">
        <v>316.7685626269146</v>
      </c>
      <c r="X7" s="3" t="n"/>
      <c r="Y7" s="4" t="n">
        <v>0.5631067961165048</v>
      </c>
      <c r="Z7" s="3" t="n"/>
      <c r="AA7" s="2" t="n">
        <v>12.75093988541052</v>
      </c>
      <c r="AB7" s="3" t="n"/>
      <c r="AC7" s="4" t="n">
        <v>0</v>
      </c>
      <c r="AD7" s="3" t="n"/>
      <c r="AE7" s="2" t="n">
        <v>69188.00446460802</v>
      </c>
      <c r="AF7" s="3" t="n"/>
      <c r="AG7" s="2" t="n">
        <v>48.40030804768733</v>
      </c>
      <c r="AH7" s="3" t="n"/>
      <c r="AI7" s="2" t="n">
        <v>7.838831752943998e-08</v>
      </c>
      <c r="AJ7" s="3" t="n"/>
      <c r="AK7" s="2" t="n">
        <v>-1.455191522836685e-11</v>
      </c>
      <c r="AL7" s="3" t="n"/>
      <c r="AM7" s="2" t="n">
        <v>428937.6410255483</v>
      </c>
      <c r="AN7" s="3" t="n"/>
      <c r="AO7" s="3" t="n"/>
    </row>
    <row r="8">
      <c r="A8" s="2" t="n">
        <v>35</v>
      </c>
      <c r="B8" s="2" t="n">
        <v>10.5</v>
      </c>
      <c r="C8" s="3" t="n">
        <v>1</v>
      </c>
      <c r="D8" s="2" t="n">
        <v>-166.0702799415207</v>
      </c>
      <c r="E8" s="3" t="n"/>
      <c r="F8" s="4" t="n">
        <v>0.6816326530612244</v>
      </c>
      <c r="G8" s="3" t="n"/>
      <c r="H8" s="2" t="n">
        <v>13.19864345044454</v>
      </c>
      <c r="I8" s="3" t="n"/>
      <c r="J8" s="4" t="n">
        <v>0.8</v>
      </c>
      <c r="K8" s="3" t="n"/>
      <c r="L8" s="2" t="n">
        <v>69188.00446460802</v>
      </c>
      <c r="M8" s="3" t="n"/>
      <c r="N8" s="2" t="n">
        <v>48.40030804768733</v>
      </c>
      <c r="O8" s="3" t="n"/>
      <c r="P8" s="2" t="n">
        <v>0</v>
      </c>
      <c r="Q8" s="3" t="n"/>
      <c r="R8" s="2" t="n">
        <v>0</v>
      </c>
      <c r="S8" s="3" t="n"/>
      <c r="T8" s="2" t="n">
        <v>0</v>
      </c>
      <c r="U8" s="3" t="n"/>
      <c r="V8" s="3" t="n">
        <v>1</v>
      </c>
      <c r="W8" s="2" t="n">
        <v>309.6455471817929</v>
      </c>
      <c r="X8" s="3" t="n"/>
      <c r="Y8" s="4" t="n">
        <v>0.6816326530612244</v>
      </c>
      <c r="Z8" s="3" t="n"/>
      <c r="AA8" s="2" t="n">
        <v>13.19864345044454</v>
      </c>
      <c r="AB8" s="3" t="n"/>
      <c r="AC8" s="4" t="n">
        <v>0</v>
      </c>
      <c r="AD8" s="3" t="n"/>
      <c r="AE8" s="2" t="n">
        <v>69188.00446460801</v>
      </c>
      <c r="AF8" s="3" t="n"/>
      <c r="AG8" s="2" t="n">
        <v>48.40030804768733</v>
      </c>
      <c r="AH8" s="3" t="n"/>
      <c r="AI8" s="2" t="n">
        <v>5.837314144038105e-08</v>
      </c>
      <c r="AJ8" s="3" t="n"/>
      <c r="AK8" s="2" t="n">
        <v>-1.455191522836685e-11</v>
      </c>
      <c r="AL8" s="3" t="n"/>
      <c r="AM8" s="2" t="n">
        <v>475715.8271233136</v>
      </c>
      <c r="AN8" s="3" t="n"/>
      <c r="AO8" s="3" t="n"/>
    </row>
    <row r="9">
      <c r="A9" s="2" t="n">
        <v>40</v>
      </c>
      <c r="B9" s="2" t="n">
        <v>10.5</v>
      </c>
      <c r="C9" s="3" t="n">
        <v>1</v>
      </c>
      <c r="D9" s="2" t="n">
        <v>-130.8287143152771</v>
      </c>
      <c r="E9" s="3" t="n"/>
      <c r="F9" s="4" t="n">
        <v>0.6984732824427481</v>
      </c>
      <c r="G9" s="3" t="n"/>
      <c r="H9" s="2" t="n">
        <v>13.02501870863681</v>
      </c>
      <c r="I9" s="3" t="n"/>
      <c r="J9" s="4" t="n">
        <v>0.76</v>
      </c>
      <c r="K9" s="3" t="n"/>
      <c r="L9" s="2" t="n">
        <v>69188.00446460804</v>
      </c>
      <c r="M9" s="3" t="n"/>
      <c r="N9" s="2" t="n">
        <v>48.40030804768733</v>
      </c>
      <c r="O9" s="3" t="n"/>
      <c r="P9" s="2" t="n">
        <v>0</v>
      </c>
      <c r="Q9" s="3" t="n"/>
      <c r="R9" s="2" t="n">
        <v>0</v>
      </c>
      <c r="S9" s="3" t="n"/>
      <c r="T9" s="2" t="n">
        <v>0</v>
      </c>
      <c r="U9" s="3" t="n"/>
      <c r="V9" s="3" t="n">
        <v>1</v>
      </c>
      <c r="W9" s="2" t="n">
        <v>312.3387797291678</v>
      </c>
      <c r="X9" s="3" t="n"/>
      <c r="Y9" s="4" t="n">
        <v>0.6984732824427481</v>
      </c>
      <c r="Z9" s="3" t="n"/>
      <c r="AA9" s="2" t="n">
        <v>13.02501870863681</v>
      </c>
      <c r="AB9" s="3" t="n"/>
      <c r="AC9" s="4" t="n">
        <v>0</v>
      </c>
      <c r="AD9" s="3" t="n"/>
      <c r="AE9" s="2" t="n">
        <v>69188.00446460802</v>
      </c>
      <c r="AF9" s="3" t="n"/>
      <c r="AG9" s="2" t="n">
        <v>48.40030804768733</v>
      </c>
      <c r="AH9" s="3" t="n"/>
      <c r="AI9" s="2" t="n">
        <v>7.96779611455024e-08</v>
      </c>
      <c r="AJ9" s="3" t="n"/>
      <c r="AK9" s="2" t="n">
        <v>-1.455191522836685e-11</v>
      </c>
      <c r="AL9" s="3" t="n"/>
      <c r="AM9" s="2" t="n">
        <v>443167.4940444449</v>
      </c>
      <c r="AN9" s="3" t="n"/>
      <c r="AO9" s="3" t="n"/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18" customWidth="1" min="6" max="6"/>
    <col width="21" customWidth="1" min="7" max="7"/>
    <col width="24" customWidth="1" min="8" max="8"/>
    <col width="27" customWidth="1" min="9" max="9"/>
    <col width="27" customWidth="1" min="10" max="10"/>
    <col width="30" customWidth="1" min="11" max="11"/>
    <col width="21" customWidth="1" min="12" max="12"/>
    <col width="24" customWidth="1" min="13" max="13"/>
    <col width="17" customWidth="1" min="14" max="14"/>
    <col width="20" customWidth="1" min="15" max="15"/>
    <col width="18" customWidth="1" min="16" max="16"/>
    <col width="21" customWidth="1" min="17" max="17"/>
    <col width="28" customWidth="1" min="18" max="18"/>
    <col width="30" customWidth="1" min="19" max="19"/>
    <col width="20" customWidth="1" min="20" max="20"/>
    <col width="23" customWidth="1" min="21" max="21"/>
    <col width="19" customWidth="1" min="22" max="22"/>
    <col width="19" customWidth="1" min="23" max="23"/>
    <col width="22" customWidth="1" min="24" max="24"/>
    <col width="22" customWidth="1" min="25" max="25"/>
    <col width="25" customWidth="1" min="26" max="26"/>
    <col width="28" customWidth="1" min="27" max="27"/>
    <col width="30" customWidth="1" min="28" max="28"/>
    <col width="30" customWidth="1" min="29" max="29"/>
    <col width="30" customWidth="1" min="30" max="30"/>
    <col width="25" customWidth="1" min="31" max="31"/>
    <col width="28" customWidth="1" min="32" max="32"/>
    <col width="21" customWidth="1" min="33" max="33"/>
    <col width="24" customWidth="1" min="34" max="34"/>
    <col width="22" customWidth="1" min="35" max="35"/>
    <col width="25" customWidth="1" min="36" max="36"/>
    <col width="30" customWidth="1" min="37" max="37"/>
    <col width="30" customWidth="1" min="38" max="38"/>
    <col width="24" customWidth="1" min="39" max="39"/>
    <col width="27" customWidth="1" min="40" max="40"/>
    <col width="15" customWidth="1" min="41" max="41"/>
  </cols>
  <sheetData>
    <row r="1" ht="42" customHeight="1">
      <c r="A1" s="1" t="inlineStr">
        <is>
          <t>load_erlang</t>
        </is>
      </c>
      <c r="B1" s="1" t="inlineStr">
        <is>
          <t>power_dbm</t>
        </is>
      </c>
      <c r="C1" s="1" t="inlineStr">
        <is>
          <t>ff_seed_count</t>
        </is>
      </c>
      <c r="D1" s="1" t="inlineStr">
        <is>
          <t>ff_skr_kbit_s</t>
        </is>
      </c>
      <c r="E1" s="1" t="inlineStr">
        <is>
          <t>ff_skr_sd_kbit_s</t>
        </is>
      </c>
      <c r="F1" s="1" t="inlineStr">
        <is>
          <t>ff_blocking_rate</t>
        </is>
      </c>
      <c r="G1" s="1" t="inlineStr">
        <is>
          <t>ff_blocking_rate_sd</t>
        </is>
      </c>
      <c r="H1" s="1" t="inlineStr">
        <is>
          <t>ff_carried_load_erlang</t>
        </is>
      </c>
      <c r="I1" s="1" t="inlineStr">
        <is>
          <t>ff_carried_load_erlang_sd</t>
        </is>
      </c>
      <c r="J1" s="1" t="inlineStr">
        <is>
          <t>ff_zero_skr_fraction_mean</t>
        </is>
      </c>
      <c r="K1" s="1" t="inlineStr">
        <is>
          <t>ff_zero_skr_fraction_mean_sd</t>
        </is>
      </c>
      <c r="L1" s="1" t="inlineStr">
        <is>
          <t>ff_osnr_linear_mean</t>
        </is>
      </c>
      <c r="M1" s="1" t="inlineStr">
        <is>
          <t>ff_osnr_linear_mean_sd</t>
        </is>
      </c>
      <c r="N1" s="1" t="inlineStr">
        <is>
          <t>ff_osnr_db_mean</t>
        </is>
      </c>
      <c r="O1" s="1" t="inlineStr">
        <is>
          <t>ff_osnr_db_mean_sd</t>
        </is>
      </c>
      <c r="P1" s="1" t="inlineStr">
        <is>
          <t>ff_synergy_vs_FF</t>
        </is>
      </c>
      <c r="Q1" s="1" t="inlineStr">
        <is>
          <t>ff_synergy_vs_FF_sd</t>
        </is>
      </c>
      <c r="R1" s="1" t="inlineStr">
        <is>
          <t>ff_delta_osnr_linear_vs_FF</t>
        </is>
      </c>
      <c r="S1" s="1" t="inlineStr">
        <is>
          <t>ff_delta_osnr_linear_vs_FF_sd</t>
        </is>
      </c>
      <c r="T1" s="1" t="inlineStr">
        <is>
          <t>ff_delta_skr_vs_FF</t>
        </is>
      </c>
      <c r="U1" s="1" t="inlineStr">
        <is>
          <t>ff_delta_skr_vs_FF_sd</t>
        </is>
      </c>
      <c r="V1" s="1" t="inlineStr">
        <is>
          <t>greedy_seed_count</t>
        </is>
      </c>
      <c r="W1" s="1" t="inlineStr">
        <is>
          <t>greedy_skr_kbit_s</t>
        </is>
      </c>
      <c r="X1" s="1" t="inlineStr">
        <is>
          <t>greedy_skr_sd_kbit_s</t>
        </is>
      </c>
      <c r="Y1" s="1" t="inlineStr">
        <is>
          <t>greedy_blocking_rate</t>
        </is>
      </c>
      <c r="Z1" s="1" t="inlineStr">
        <is>
          <t>greedy_blocking_rate_sd</t>
        </is>
      </c>
      <c r="AA1" s="1" t="inlineStr">
        <is>
          <t>greedy_carried_load_erlang</t>
        </is>
      </c>
      <c r="AB1" s="1" t="inlineStr">
        <is>
          <t>greedy_carried_load_erlang_sd</t>
        </is>
      </c>
      <c r="AC1" s="1" t="inlineStr">
        <is>
          <t>greedy_zero_skr_fraction_mean</t>
        </is>
      </c>
      <c r="AD1" s="1" t="inlineStr">
        <is>
          <t>greedy_zero_skr_fraction_mean_sd</t>
        </is>
      </c>
      <c r="AE1" s="1" t="inlineStr">
        <is>
          <t>greedy_osnr_linear_mean</t>
        </is>
      </c>
      <c r="AF1" s="1" t="inlineStr">
        <is>
          <t>greedy_osnr_linear_mean_sd</t>
        </is>
      </c>
      <c r="AG1" s="1" t="inlineStr">
        <is>
          <t>greedy_osnr_db_mean</t>
        </is>
      </c>
      <c r="AH1" s="1" t="inlineStr">
        <is>
          <t>greedy_osnr_db_mean_sd</t>
        </is>
      </c>
      <c r="AI1" s="1" t="inlineStr">
        <is>
          <t>greedy_synergy_vs_FF</t>
        </is>
      </c>
      <c r="AJ1" s="1" t="inlineStr">
        <is>
          <t>greedy_synergy_vs_FF_sd</t>
        </is>
      </c>
      <c r="AK1" s="1" t="inlineStr">
        <is>
          <t>greedy_delta_osnr_linear_vs_FF</t>
        </is>
      </c>
      <c r="AL1" s="1" t="inlineStr">
        <is>
          <t>greedy_delta_osnr_linear_vs_FF_sd</t>
        </is>
      </c>
      <c r="AM1" s="1" t="inlineStr">
        <is>
          <t>greedy_delta_skr_vs_FF</t>
        </is>
      </c>
      <c r="AN1" s="1" t="inlineStr">
        <is>
          <t>greedy_delta_skr_vs_FF_sd</t>
        </is>
      </c>
      <c r="AO1" s="1" t="inlineStr">
        <is>
          <t>gain_vs_FF</t>
        </is>
      </c>
    </row>
    <row r="2">
      <c r="A2" s="2" t="n">
        <v>10</v>
      </c>
      <c r="B2" s="2" t="n">
        <v>7</v>
      </c>
      <c r="C2" s="3" t="n">
        <v>1</v>
      </c>
      <c r="D2" s="2" t="n">
        <v>340.3147203213694</v>
      </c>
      <c r="E2" s="3" t="n"/>
      <c r="F2" s="4" t="n">
        <v>0.1304347826086956</v>
      </c>
      <c r="G2" s="3" t="n"/>
      <c r="H2" s="2" t="n">
        <v>9.550452969581453</v>
      </c>
      <c r="I2" s="3" t="n"/>
      <c r="J2" s="4" t="n">
        <v>0</v>
      </c>
      <c r="K2" s="3" t="n"/>
      <c r="L2" s="2" t="n">
        <v>66599.89345569645</v>
      </c>
      <c r="M2" s="3" t="n"/>
      <c r="N2" s="2" t="n">
        <v>48.23473534400929</v>
      </c>
      <c r="O2" s="3" t="n"/>
      <c r="P2" s="2" t="n">
        <v>0</v>
      </c>
      <c r="Q2" s="3" t="n"/>
      <c r="R2" s="2" t="n">
        <v>0</v>
      </c>
      <c r="S2" s="3" t="n"/>
      <c r="T2" s="2" t="n">
        <v>0</v>
      </c>
      <c r="U2" s="3" t="n"/>
      <c r="V2" s="3" t="n">
        <v>1</v>
      </c>
      <c r="W2" s="2" t="n">
        <v>364.7102750183727</v>
      </c>
      <c r="X2" s="3" t="n"/>
      <c r="Y2" s="4" t="n">
        <v>0.1304347826086956</v>
      </c>
      <c r="Z2" s="3" t="n"/>
      <c r="AA2" s="2" t="n">
        <v>9.550452969581453</v>
      </c>
      <c r="AB2" s="3" t="n"/>
      <c r="AC2" s="4" t="n">
        <v>0</v>
      </c>
      <c r="AD2" s="3" t="n"/>
      <c r="AE2" s="2" t="n">
        <v>66599.89345569647</v>
      </c>
      <c r="AF2" s="3" t="n"/>
      <c r="AG2" s="2" t="n">
        <v>48.23473534400929</v>
      </c>
      <c r="AH2" s="3" t="n"/>
      <c r="AI2" s="2" t="n">
        <v>1.321887861212269e-08</v>
      </c>
      <c r="AJ2" s="3" t="n"/>
      <c r="AK2" s="2" t="n">
        <v>1.455191522836685e-11</v>
      </c>
      <c r="AL2" s="3" t="n"/>
      <c r="AM2" s="2" t="n">
        <v>24395.55469700327</v>
      </c>
      <c r="AN2" s="3" t="n"/>
      <c r="AO2" s="4" t="n">
        <v>0.07168527612900721</v>
      </c>
    </row>
    <row r="3">
      <c r="A3" s="2" t="n">
        <v>10</v>
      </c>
      <c r="B3" s="2" t="n">
        <v>8</v>
      </c>
      <c r="C3" s="3" t="n">
        <v>1</v>
      </c>
      <c r="D3" s="2" t="n">
        <v>317.9535267434217</v>
      </c>
      <c r="E3" s="3" t="n"/>
      <c r="F3" s="4" t="n">
        <v>0.1304347826086956</v>
      </c>
      <c r="G3" s="3" t="n"/>
      <c r="H3" s="2" t="n">
        <v>9.550452969581453</v>
      </c>
      <c r="I3" s="3" t="n"/>
      <c r="J3" s="4" t="n">
        <v>0</v>
      </c>
      <c r="K3" s="3" t="n"/>
      <c r="L3" s="2" t="n">
        <v>67538.9846598517</v>
      </c>
      <c r="M3" s="3" t="n"/>
      <c r="N3" s="2" t="n">
        <v>48.29554527428528</v>
      </c>
      <c r="O3" s="3" t="n"/>
      <c r="P3" s="2" t="n">
        <v>0</v>
      </c>
      <c r="Q3" s="3" t="n"/>
      <c r="R3" s="2" t="n">
        <v>0</v>
      </c>
      <c r="S3" s="3" t="n"/>
      <c r="T3" s="2" t="n">
        <v>0</v>
      </c>
      <c r="U3" s="3" t="n"/>
      <c r="V3" s="3" t="n">
        <v>1</v>
      </c>
      <c r="W3" s="2" t="n">
        <v>362.4219088877089</v>
      </c>
      <c r="X3" s="3" t="n"/>
      <c r="Y3" s="4" t="n">
        <v>0.1304347826086956</v>
      </c>
      <c r="Z3" s="3" t="n"/>
      <c r="AA3" s="2" t="n">
        <v>9.550452969581453</v>
      </c>
      <c r="AB3" s="3" t="n"/>
      <c r="AC3" s="4" t="n">
        <v>0</v>
      </c>
      <c r="AD3" s="3" t="n"/>
      <c r="AE3" s="2" t="n">
        <v>67538.9846598517</v>
      </c>
      <c r="AF3" s="3" t="n"/>
      <c r="AG3" s="2" t="n">
        <v>48.29554527428528</v>
      </c>
      <c r="AH3" s="3" t="n"/>
      <c r="AI3" s="2" t="n">
        <v>0</v>
      </c>
      <c r="AJ3" s="3" t="n"/>
      <c r="AK3" s="2" t="n">
        <v>0</v>
      </c>
      <c r="AL3" s="3" t="n"/>
      <c r="AM3" s="2" t="n">
        <v>44468.38214428711</v>
      </c>
      <c r="AN3" s="3" t="n"/>
      <c r="AO3" s="4" t="n">
        <v>0.1398581188884616</v>
      </c>
    </row>
    <row r="4">
      <c r="A4" s="2" t="n">
        <v>10</v>
      </c>
      <c r="B4" s="2" t="n">
        <v>9</v>
      </c>
      <c r="C4" s="3" t="n">
        <v>1</v>
      </c>
      <c r="D4" s="2" t="n">
        <v>279.1990479668012</v>
      </c>
      <c r="E4" s="3" t="n"/>
      <c r="F4" s="4" t="n">
        <v>0.1304347826086956</v>
      </c>
      <c r="G4" s="3" t="n"/>
      <c r="H4" s="2" t="n">
        <v>9.550452969581453</v>
      </c>
      <c r="I4" s="3" t="n"/>
      <c r="J4" s="4" t="n">
        <v>0</v>
      </c>
      <c r="K4" s="3" t="n"/>
      <c r="L4" s="2" t="n">
        <v>68304.01800040947</v>
      </c>
      <c r="M4" s="3" t="n"/>
      <c r="N4" s="2" t="n">
        <v>48.34446251911111</v>
      </c>
      <c r="O4" s="3" t="n"/>
      <c r="P4" s="2" t="n">
        <v>0</v>
      </c>
      <c r="Q4" s="3" t="n"/>
      <c r="R4" s="2" t="n">
        <v>0</v>
      </c>
      <c r="S4" s="3" t="n"/>
      <c r="T4" s="2" t="n">
        <v>0</v>
      </c>
      <c r="U4" s="3" t="n"/>
      <c r="V4" s="3" t="n">
        <v>1</v>
      </c>
      <c r="W4" s="2" t="n">
        <v>358.0336177205674</v>
      </c>
      <c r="X4" s="3" t="n"/>
      <c r="Y4" s="4" t="n">
        <v>0.1304347826086956</v>
      </c>
      <c r="Z4" s="3" t="n"/>
      <c r="AA4" s="2" t="n">
        <v>9.550452969581453</v>
      </c>
      <c r="AB4" s="3" t="n"/>
      <c r="AC4" s="4" t="n">
        <v>0</v>
      </c>
      <c r="AD4" s="3" t="n"/>
      <c r="AE4" s="2" t="n">
        <v>68304.01800040947</v>
      </c>
      <c r="AF4" s="3" t="n"/>
      <c r="AG4" s="2" t="n">
        <v>48.34446251911111</v>
      </c>
      <c r="AH4" s="3" t="n"/>
      <c r="AI4" s="2" t="n">
        <v>0</v>
      </c>
      <c r="AJ4" s="3" t="n"/>
      <c r="AK4" s="2" t="n">
        <v>0</v>
      </c>
      <c r="AL4" s="3" t="n"/>
      <c r="AM4" s="2" t="n">
        <v>78834.56975376623</v>
      </c>
      <c r="AN4" s="3" t="n"/>
      <c r="AO4" s="4" t="n">
        <v>0.28235973699717</v>
      </c>
    </row>
    <row r="5">
      <c r="A5" s="2" t="n">
        <v>10</v>
      </c>
      <c r="B5" s="2" t="n">
        <v>10</v>
      </c>
      <c r="C5" s="3" t="n">
        <v>1</v>
      </c>
      <c r="D5" s="2" t="n">
        <v>213.6023754508774</v>
      </c>
      <c r="E5" s="3" t="n"/>
      <c r="F5" s="4" t="n">
        <v>0.1304347826086956</v>
      </c>
      <c r="G5" s="3" t="n"/>
      <c r="H5" s="2" t="n">
        <v>9.550452969581453</v>
      </c>
      <c r="I5" s="3" t="n"/>
      <c r="J5" s="4" t="n">
        <v>0.28</v>
      </c>
      <c r="K5" s="3" t="n"/>
      <c r="L5" s="2" t="n">
        <v>68924.16918860913</v>
      </c>
      <c r="M5" s="3" t="n"/>
      <c r="N5" s="2" t="n">
        <v>48.38371539827109</v>
      </c>
      <c r="O5" s="3" t="n"/>
      <c r="P5" s="2" t="n">
        <v>0</v>
      </c>
      <c r="Q5" s="3" t="n"/>
      <c r="R5" s="2" t="n">
        <v>0</v>
      </c>
      <c r="S5" s="3" t="n"/>
      <c r="T5" s="2" t="n">
        <v>0</v>
      </c>
      <c r="U5" s="3" t="n"/>
      <c r="V5" s="3" t="n">
        <v>1</v>
      </c>
      <c r="W5" s="2" t="n">
        <v>349.7551011854034</v>
      </c>
      <c r="X5" s="3" t="n"/>
      <c r="Y5" s="4" t="n">
        <v>0.1304347826086956</v>
      </c>
      <c r="Z5" s="3" t="n"/>
      <c r="AA5" s="2" t="n">
        <v>9.550452969581453</v>
      </c>
      <c r="AB5" s="3" t="n"/>
      <c r="AC5" s="4" t="n">
        <v>0</v>
      </c>
      <c r="AD5" s="3" t="n"/>
      <c r="AE5" s="2" t="n">
        <v>68924.16918860913</v>
      </c>
      <c r="AF5" s="3" t="n"/>
      <c r="AG5" s="2" t="n">
        <v>48.38371539827109</v>
      </c>
      <c r="AH5" s="3" t="n"/>
      <c r="AI5" s="2" t="n">
        <v>0</v>
      </c>
      <c r="AJ5" s="3" t="n"/>
      <c r="AK5" s="2" t="n">
        <v>0</v>
      </c>
      <c r="AL5" s="3" t="n"/>
      <c r="AM5" s="2" t="n">
        <v>136152.7257345261</v>
      </c>
      <c r="AN5" s="3" t="n"/>
      <c r="AO5" s="4" t="n">
        <v>0.6374120392955902</v>
      </c>
    </row>
    <row r="6">
      <c r="A6" s="2" t="n">
        <v>10</v>
      </c>
      <c r="B6" s="2" t="n">
        <v>10.5</v>
      </c>
      <c r="C6" s="3" t="n">
        <v>1</v>
      </c>
      <c r="D6" s="2" t="n">
        <v>165.6750066540249</v>
      </c>
      <c r="E6" s="3" t="n"/>
      <c r="F6" s="4" t="n">
        <v>0.1304347826086956</v>
      </c>
      <c r="G6" s="3" t="n"/>
      <c r="H6" s="2" t="n">
        <v>9.550452969581453</v>
      </c>
      <c r="I6" s="3" t="n"/>
      <c r="J6" s="4" t="n">
        <v>0.28</v>
      </c>
      <c r="K6" s="3" t="n"/>
      <c r="L6" s="2" t="n">
        <v>69188.00446460805</v>
      </c>
      <c r="M6" s="3" t="n"/>
      <c r="N6" s="2" t="n">
        <v>48.40030804768733</v>
      </c>
      <c r="O6" s="3" t="n"/>
      <c r="P6" s="2" t="n">
        <v>0</v>
      </c>
      <c r="Q6" s="3" t="n"/>
      <c r="R6" s="2" t="n">
        <v>0</v>
      </c>
      <c r="S6" s="3" t="n"/>
      <c r="T6" s="2" t="n">
        <v>0</v>
      </c>
      <c r="U6" s="3" t="n"/>
      <c r="V6" s="3" t="n">
        <v>1</v>
      </c>
      <c r="W6" s="2" t="n">
        <v>343.2502295979065</v>
      </c>
      <c r="X6" s="3" t="n"/>
      <c r="Y6" s="4" t="n">
        <v>0.1304347826086956</v>
      </c>
      <c r="Z6" s="3" t="n"/>
      <c r="AA6" s="2" t="n">
        <v>9.550452969581453</v>
      </c>
      <c r="AB6" s="3" t="n"/>
      <c r="AC6" s="4" t="n">
        <v>0</v>
      </c>
      <c r="AD6" s="3" t="n"/>
      <c r="AE6" s="2" t="n">
        <v>69188.00446460805</v>
      </c>
      <c r="AF6" s="3" t="n"/>
      <c r="AG6" s="2" t="n">
        <v>48.40030804768733</v>
      </c>
      <c r="AH6" s="3" t="n"/>
      <c r="AI6" s="2" t="n">
        <v>0</v>
      </c>
      <c r="AJ6" s="3" t="n"/>
      <c r="AK6" s="2" t="n">
        <v>0</v>
      </c>
      <c r="AL6" s="3" t="n"/>
      <c r="AM6" s="2" t="n">
        <v>177575.2229438817</v>
      </c>
      <c r="AN6" s="3" t="n"/>
      <c r="AO6" s="4" t="n">
        <v>1.071828675490611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7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5" customWidth="1" min="10" max="10"/>
    <col width="15" customWidth="1" min="11" max="11"/>
    <col width="19" customWidth="1" min="12" max="12"/>
    <col width="22" customWidth="1" min="13" max="13"/>
    <col width="24" customWidth="1" min="14" max="14"/>
    <col width="24" customWidth="1" min="15" max="15"/>
    <col width="18" customWidth="1" min="16" max="16"/>
    <col width="23" customWidth="1" min="17" max="17"/>
    <col width="30" customWidth="1" min="18" max="18"/>
    <col width="30" customWidth="1" min="19" max="19"/>
    <col width="30" customWidth="1" min="20" max="20"/>
    <col width="21" customWidth="1" min="21" max="21"/>
    <col width="24" customWidth="1" min="22" max="22"/>
    <col width="17" customWidth="1" min="23" max="23"/>
    <col width="15" customWidth="1" min="24" max="24"/>
    <col width="20" customWidth="1" min="25" max="25"/>
    <col width="15" customWidth="1" min="26" max="26"/>
    <col width="19" customWidth="1" min="27" max="27"/>
    <col width="27" customWidth="1" min="28" max="28"/>
    <col width="15" customWidth="1" min="29" max="29"/>
    <col width="15" customWidth="1" min="30" max="30"/>
    <col width="15" customWidth="1" min="31" max="31"/>
    <col width="15" customWidth="1" min="32" max="32"/>
    <col width="21" customWidth="1" min="33" max="33"/>
    <col width="21" customWidth="1" min="34" max="34"/>
    <col width="15" customWidth="1" min="35" max="35"/>
    <col width="15" customWidth="1" min="36" max="36"/>
    <col width="16" customWidth="1" min="37" max="37"/>
    <col width="15" customWidth="1" min="38" max="38"/>
    <col width="15" customWidth="1" min="39" max="39"/>
    <col width="25" customWidth="1" min="40" max="40"/>
    <col width="17" customWidth="1" min="41" max="41"/>
  </cols>
  <sheetData>
    <row r="1" ht="42" customHeight="1">
      <c r="A1" s="1" t="inlineStr">
        <is>
          <t>group</t>
        </is>
      </c>
      <c r="B1" s="1" t="inlineStr">
        <is>
          <t>algorithm</t>
        </is>
      </c>
      <c r="C1" s="1" t="inlineStr">
        <is>
          <t>load_erlang</t>
        </is>
      </c>
      <c r="D1" s="1" t="inlineStr">
        <is>
          <t>power_dbm</t>
        </is>
      </c>
      <c r="E1" s="1" t="inlineStr">
        <is>
          <t>seed</t>
        </is>
      </c>
      <c r="F1" s="1" t="inlineStr">
        <is>
          <t>skr_mean</t>
        </is>
      </c>
      <c r="G1" s="1" t="inlineStr">
        <is>
          <t>raw_skr_mean</t>
        </is>
      </c>
      <c r="H1" s="1" t="inlineStr">
        <is>
          <t>no_fwm_skr_mean</t>
        </is>
      </c>
      <c r="I1" s="1" t="inlineStr">
        <is>
          <t>zero_noise_skr_mean</t>
        </is>
      </c>
      <c r="J1" s="1" t="inlineStr">
        <is>
          <t>raman_w_mean</t>
        </is>
      </c>
      <c r="K1" s="1" t="inlineStr">
        <is>
          <t>fwm_w_mean</t>
        </is>
      </c>
      <c r="L1" s="1" t="inlineStr">
        <is>
          <t>noise_counts_mean</t>
        </is>
      </c>
      <c r="M1" s="1" t="inlineStr">
        <is>
          <t>active_services_mean</t>
        </is>
      </c>
      <c r="N1" s="1" t="inlineStr">
        <is>
          <t>occupied_channels_mean</t>
        </is>
      </c>
      <c r="O1" s="1" t="inlineStr">
        <is>
          <t>zero_skr_fraction_mean</t>
        </is>
      </c>
      <c r="P1" s="1" t="inlineStr">
        <is>
          <t>osnr_linear_mean</t>
        </is>
      </c>
      <c r="Q1" s="1" t="inlineStr">
        <is>
          <t>zero_xt_channels_mean</t>
        </is>
      </c>
      <c r="R1" s="1" t="inlineStr">
        <is>
          <t>classical_received_power_w_mean</t>
        </is>
      </c>
      <c r="S1" s="1" t="inlineStr">
        <is>
          <t>classical_noise_power_w_mean</t>
        </is>
      </c>
      <c r="T1" s="1" t="inlineStr">
        <is>
          <t>classical_noise_per_channel_w_mean</t>
        </is>
      </c>
      <c r="U1" s="1" t="inlineStr">
        <is>
          <t>classical_xt_w_mean</t>
        </is>
      </c>
      <c r="V1" s="1" t="inlineStr">
        <is>
          <t>classical_floor_w_mean</t>
        </is>
      </c>
      <c r="W1" s="1" t="inlineStr">
        <is>
          <t>osnr_idle_slots</t>
        </is>
      </c>
      <c r="X1" s="1" t="inlineStr">
        <is>
          <t>osnr_db_mean</t>
        </is>
      </c>
      <c r="Y1" s="1" t="inlineStr">
        <is>
          <t>osnr_valid_samples</t>
        </is>
      </c>
      <c r="Z1" s="1" t="inlineStr">
        <is>
          <t>observed_link</t>
        </is>
      </c>
      <c r="AA1" s="1" t="inlineStr">
        <is>
          <t>observed_length_m</t>
        </is>
      </c>
      <c r="AB1" s="1" t="inlineStr">
        <is>
          <t>observed_quantum_channels</t>
        </is>
      </c>
      <c r="AC1" s="1" t="inlineStr">
        <is>
          <t>offered</t>
        </is>
      </c>
      <c r="AD1" s="1" t="inlineStr">
        <is>
          <t>accepted</t>
        </is>
      </c>
      <c r="AE1" s="1" t="inlineStr">
        <is>
          <t>blocked</t>
        </is>
      </c>
      <c r="AF1" s="1" t="inlineStr">
        <is>
          <t>blocking_rate</t>
        </is>
      </c>
      <c r="AG1" s="1" t="inlineStr">
        <is>
          <t>carried_load_erlang</t>
        </is>
      </c>
      <c r="AH1" s="1" t="inlineStr">
        <is>
          <t>channel_utilization</t>
        </is>
      </c>
      <c r="AI1" s="1" t="inlineStr">
        <is>
          <t>capacity</t>
        </is>
      </c>
      <c r="AJ1" s="1" t="inlineStr">
        <is>
          <t>samples</t>
        </is>
      </c>
      <c r="AK1" s="1" t="inlineStr">
        <is>
          <t>traffic_sha256</t>
        </is>
      </c>
      <c r="AL1" s="1" t="inlineStr">
        <is>
          <t>runtime_s</t>
        </is>
      </c>
      <c r="AM1" s="1" t="inlineStr">
        <is>
          <t>synergy_vs_FF</t>
        </is>
      </c>
      <c r="AN1" s="1" t="inlineStr">
        <is>
          <t>delta_osnr_linear_vs_FF</t>
        </is>
      </c>
      <c r="AO1" s="1" t="inlineStr">
        <is>
          <t>delta_skr_vs_FF</t>
        </is>
      </c>
    </row>
    <row r="2">
      <c r="A2" s="3" t="inlineStr">
        <is>
          <t>load_scan</t>
        </is>
      </c>
      <c r="B2" s="3" t="inlineStr">
        <is>
          <t>first-fit</t>
        </is>
      </c>
      <c r="C2" s="2" t="n">
        <v>5</v>
      </c>
      <c r="D2" s="2" t="n">
        <v>10.5</v>
      </c>
      <c r="E2" s="3" t="n">
        <v>53</v>
      </c>
      <c r="F2" s="2" t="n">
        <v>366020.0787463664</v>
      </c>
      <c r="G2" s="2" t="n">
        <v>366020.0787463664</v>
      </c>
      <c r="H2" s="2" t="n">
        <v>366510.9362406741</v>
      </c>
      <c r="I2" s="2" t="n">
        <v>367245.4780671105</v>
      </c>
      <c r="J2" s="5" t="n">
        <v>2.977067718278899e-15</v>
      </c>
      <c r="K2" s="5" t="n">
        <v>2.012089851199804e-15</v>
      </c>
      <c r="L2" s="5" t="n">
        <v>6.167231081561674e-07</v>
      </c>
      <c r="M2" s="2" t="n">
        <v>5.76</v>
      </c>
      <c r="N2" s="2" t="n">
        <v>17.28</v>
      </c>
      <c r="O2" s="4" t="n">
        <v>0</v>
      </c>
      <c r="P2" s="2" t="n">
        <v>69188.00446460809</v>
      </c>
      <c r="Q2" s="2" t="n">
        <v>0</v>
      </c>
      <c r="R2" s="5" t="n">
        <v>0.1223330273089354</v>
      </c>
      <c r="S2" s="5" t="n">
        <v>1.768124810876902e-06</v>
      </c>
      <c r="T2" s="5" t="n">
        <v>1.023220376664874e-07</v>
      </c>
      <c r="U2" s="5" t="n">
        <v>1.712656010876901e-06</v>
      </c>
      <c r="V2" s="5" t="n">
        <v>5.546880000000001e-08</v>
      </c>
      <c r="W2" s="3" t="n">
        <v>0</v>
      </c>
      <c r="X2" s="2" t="n">
        <v>48.40030804768733</v>
      </c>
      <c r="Y2" s="3" t="n">
        <v>25</v>
      </c>
      <c r="Z2" s="3" t="inlineStr">
        <is>
          <t>[0, 1]</t>
        </is>
      </c>
      <c r="AA2" s="2" t="n">
        <v>10000</v>
      </c>
      <c r="AB2" s="3" t="n">
        <v>1</v>
      </c>
      <c r="AC2" s="3" t="n">
        <v>27</v>
      </c>
      <c r="AD2" s="3" t="n">
        <v>27</v>
      </c>
      <c r="AE2" s="3" t="n">
        <v>0</v>
      </c>
      <c r="AF2" s="4" t="n">
        <v>0</v>
      </c>
      <c r="AG2" s="2" t="n">
        <v>5.800854958508685</v>
      </c>
      <c r="AH2" s="4" t="n">
        <v>0.4143467827506206</v>
      </c>
      <c r="AI2" s="3" t="n">
        <v>42</v>
      </c>
      <c r="AJ2" s="3" t="n">
        <v>25</v>
      </c>
      <c r="AK2" s="3" t="inlineStr">
        <is>
          <t>c15e742f89d5b188bb0d2fb20ab8fdc6a0173a633662ad706b84f5202dcae5c5</t>
        </is>
      </c>
      <c r="AL2" s="2" t="n">
        <v>0.02682310000091093</v>
      </c>
      <c r="AM2" s="2" t="n">
        <v>0</v>
      </c>
      <c r="AN2" s="2" t="n">
        <v>0</v>
      </c>
      <c r="AO2" s="2" t="n">
        <v>0</v>
      </c>
    </row>
    <row r="3">
      <c r="A3" s="3" t="inlineStr">
        <is>
          <t>load_scan</t>
        </is>
      </c>
      <c r="B3" s="3" t="inlineStr">
        <is>
          <t>greedy_min_noise</t>
        </is>
      </c>
      <c r="C3" s="2" t="n">
        <v>5</v>
      </c>
      <c r="D3" s="2" t="n">
        <v>10.5</v>
      </c>
      <c r="E3" s="3" t="n">
        <v>53</v>
      </c>
      <c r="F3" s="2" t="n">
        <v>366604.4470182487</v>
      </c>
      <c r="G3" s="2" t="n">
        <v>366604.4470182487</v>
      </c>
      <c r="H3" s="2" t="n">
        <v>366855.0644098577</v>
      </c>
      <c r="I3" s="2" t="n">
        <v>367245.4780671105</v>
      </c>
      <c r="J3" s="5" t="n">
        <v>1.580974749567313e-15</v>
      </c>
      <c r="K3" s="5" t="n">
        <v>1.017878870841108e-15</v>
      </c>
      <c r="L3" s="5" t="n">
        <v>3.212512453457462e-07</v>
      </c>
      <c r="M3" s="2" t="n">
        <v>5.76</v>
      </c>
      <c r="N3" s="2" t="n">
        <v>17.28</v>
      </c>
      <c r="O3" s="4" t="n">
        <v>0</v>
      </c>
      <c r="P3" s="2" t="n">
        <v>69188.00446460809</v>
      </c>
      <c r="Q3" s="2" t="n">
        <v>0</v>
      </c>
      <c r="R3" s="5" t="n">
        <v>0.1223330273089354</v>
      </c>
      <c r="S3" s="5" t="n">
        <v>1.768124810876902e-06</v>
      </c>
      <c r="T3" s="5" t="n">
        <v>1.023220376664874e-07</v>
      </c>
      <c r="U3" s="5" t="n">
        <v>1.712656010876901e-06</v>
      </c>
      <c r="V3" s="5" t="n">
        <v>5.546880000000001e-08</v>
      </c>
      <c r="W3" s="3" t="n">
        <v>0</v>
      </c>
      <c r="X3" s="2" t="n">
        <v>48.40030804768733</v>
      </c>
      <c r="Y3" s="3" t="n">
        <v>25</v>
      </c>
      <c r="Z3" s="3" t="inlineStr">
        <is>
          <t>[0, 1]</t>
        </is>
      </c>
      <c r="AA3" s="2" t="n">
        <v>10000</v>
      </c>
      <c r="AB3" s="3" t="n">
        <v>1</v>
      </c>
      <c r="AC3" s="3" t="n">
        <v>27</v>
      </c>
      <c r="AD3" s="3" t="n">
        <v>27</v>
      </c>
      <c r="AE3" s="3" t="n">
        <v>0</v>
      </c>
      <c r="AF3" s="4" t="n">
        <v>0</v>
      </c>
      <c r="AG3" s="2" t="n">
        <v>5.800854958508685</v>
      </c>
      <c r="AH3" s="4" t="n">
        <v>0.4143467827506206</v>
      </c>
      <c r="AI3" s="3" t="n">
        <v>42</v>
      </c>
      <c r="AJ3" s="3" t="n">
        <v>25</v>
      </c>
      <c r="AK3" s="3" t="inlineStr">
        <is>
          <t>c15e742f89d5b188bb0d2fb20ab8fdc6a0173a633662ad706b84f5202dcae5c5</t>
        </is>
      </c>
      <c r="AL3" s="2" t="n">
        <v>0.04796119999991788</v>
      </c>
      <c r="AM3" s="2" t="n">
        <v>0</v>
      </c>
      <c r="AN3" s="2" t="n">
        <v>0</v>
      </c>
      <c r="AO3" s="2" t="n">
        <v>584.3682718822965</v>
      </c>
    </row>
    <row r="4">
      <c r="A4" s="3" t="inlineStr">
        <is>
          <t>load_scan</t>
        </is>
      </c>
      <c r="B4" s="3" t="inlineStr">
        <is>
          <t>first-fit</t>
        </is>
      </c>
      <c r="C4" s="2" t="n">
        <v>10</v>
      </c>
      <c r="D4" s="2" t="n">
        <v>10.5</v>
      </c>
      <c r="E4" s="3" t="n">
        <v>53</v>
      </c>
      <c r="F4" s="2" t="n">
        <v>165675.0066540249</v>
      </c>
      <c r="G4" s="2" t="n">
        <v>165675.0066540249</v>
      </c>
      <c r="H4" s="2" t="n">
        <v>366055.6429556532</v>
      </c>
      <c r="I4" s="2" t="n">
        <v>367245.4780671105</v>
      </c>
      <c r="J4" s="5" t="n">
        <v>4.827137193165768e-15</v>
      </c>
      <c r="K4" s="5" t="n">
        <v>1.373072241335103e-12</v>
      </c>
      <c r="L4" s="5" t="n">
        <v>0.0001703258266788306</v>
      </c>
      <c r="M4" s="2" t="n">
        <v>9.800000000000001</v>
      </c>
      <c r="N4" s="2" t="n">
        <v>29.4</v>
      </c>
      <c r="O4" s="4" t="n">
        <v>0.28</v>
      </c>
      <c r="P4" s="2" t="n">
        <v>69188.00446460805</v>
      </c>
      <c r="Q4" s="2" t="n">
        <v>0</v>
      </c>
      <c r="R4" s="5" t="n">
        <v>0.2081360534075637</v>
      </c>
      <c r="S4" s="5" t="n">
        <v>3.00826790739473e-06</v>
      </c>
      <c r="T4" s="5" t="n">
        <v>1.023220376664874e-07</v>
      </c>
      <c r="U4" s="5" t="n">
        <v>2.91389390739473e-06</v>
      </c>
      <c r="V4" s="5" t="n">
        <v>9.437399999999997e-08</v>
      </c>
      <c r="W4" s="3" t="n">
        <v>0</v>
      </c>
      <c r="X4" s="2" t="n">
        <v>48.40030804768733</v>
      </c>
      <c r="Y4" s="3" t="n">
        <v>25</v>
      </c>
      <c r="Z4" s="3" t="inlineStr">
        <is>
          <t>[0, 1]</t>
        </is>
      </c>
      <c r="AA4" s="2" t="n">
        <v>10000</v>
      </c>
      <c r="AB4" s="3" t="n">
        <v>1</v>
      </c>
      <c r="AC4" s="3" t="n">
        <v>69</v>
      </c>
      <c r="AD4" s="3" t="n">
        <v>60</v>
      </c>
      <c r="AE4" s="3" t="n">
        <v>9</v>
      </c>
      <c r="AF4" s="4" t="n">
        <v>0.1304347826086956</v>
      </c>
      <c r="AG4" s="2" t="n">
        <v>9.550452969581453</v>
      </c>
      <c r="AH4" s="4" t="n">
        <v>0.6821752121129602</v>
      </c>
      <c r="AI4" s="3" t="n">
        <v>42</v>
      </c>
      <c r="AJ4" s="3" t="n">
        <v>25</v>
      </c>
      <c r="AK4" s="3" t="inlineStr">
        <is>
          <t>edfc276beedef3ec5e69d2c98b8755d4f5c7140ddf19f2ec802d784f44ccf5a7</t>
        </is>
      </c>
      <c r="AL4" s="2" t="n">
        <v>0.05378420000124606</v>
      </c>
      <c r="AM4" s="2" t="n">
        <v>0</v>
      </c>
      <c r="AN4" s="2" t="n">
        <v>0</v>
      </c>
      <c r="AO4" s="2" t="n">
        <v>0</v>
      </c>
    </row>
    <row r="5">
      <c r="A5" s="3" t="inlineStr">
        <is>
          <t>load_scan</t>
        </is>
      </c>
      <c r="B5" s="3" t="inlineStr">
        <is>
          <t>greedy_min_noise</t>
        </is>
      </c>
      <c r="C5" s="2" t="n">
        <v>10</v>
      </c>
      <c r="D5" s="2" t="n">
        <v>10.5</v>
      </c>
      <c r="E5" s="3" t="n">
        <v>53</v>
      </c>
      <c r="F5" s="2" t="n">
        <v>343250.2295979065</v>
      </c>
      <c r="G5" s="2" t="n">
        <v>343250.2295979065</v>
      </c>
      <c r="H5" s="2" t="n">
        <v>366675.74889136</v>
      </c>
      <c r="I5" s="2" t="n">
        <v>367245.4780671105</v>
      </c>
      <c r="J5" s="5" t="n">
        <v>2.308005188119066e-15</v>
      </c>
      <c r="K5" s="5" t="n">
        <v>1.050875135949554e-13</v>
      </c>
      <c r="L5" s="5" t="n">
        <v>1.327544725208232e-05</v>
      </c>
      <c r="M5" s="2" t="n">
        <v>9.800000000000001</v>
      </c>
      <c r="N5" s="2" t="n">
        <v>29.4</v>
      </c>
      <c r="O5" s="4" t="n">
        <v>0</v>
      </c>
      <c r="P5" s="2" t="n">
        <v>69188.00446460805</v>
      </c>
      <c r="Q5" s="2" t="n">
        <v>0</v>
      </c>
      <c r="R5" s="5" t="n">
        <v>0.2081360534075637</v>
      </c>
      <c r="S5" s="5" t="n">
        <v>3.00826790739473e-06</v>
      </c>
      <c r="T5" s="5" t="n">
        <v>1.023220376664874e-07</v>
      </c>
      <c r="U5" s="5" t="n">
        <v>2.91389390739473e-06</v>
      </c>
      <c r="V5" s="5" t="n">
        <v>9.437399999999997e-08</v>
      </c>
      <c r="W5" s="3" t="n">
        <v>0</v>
      </c>
      <c r="X5" s="2" t="n">
        <v>48.40030804768733</v>
      </c>
      <c r="Y5" s="3" t="n">
        <v>25</v>
      </c>
      <c r="Z5" s="3" t="inlineStr">
        <is>
          <t>[0, 1]</t>
        </is>
      </c>
      <c r="AA5" s="2" t="n">
        <v>10000</v>
      </c>
      <c r="AB5" s="3" t="n">
        <v>1</v>
      </c>
      <c r="AC5" s="3" t="n">
        <v>69</v>
      </c>
      <c r="AD5" s="3" t="n">
        <v>60</v>
      </c>
      <c r="AE5" s="3" t="n">
        <v>9</v>
      </c>
      <c r="AF5" s="4" t="n">
        <v>0.1304347826086956</v>
      </c>
      <c r="AG5" s="2" t="n">
        <v>9.550452969581453</v>
      </c>
      <c r="AH5" s="4" t="n">
        <v>0.6821752121129602</v>
      </c>
      <c r="AI5" s="3" t="n">
        <v>42</v>
      </c>
      <c r="AJ5" s="3" t="n">
        <v>25</v>
      </c>
      <c r="AK5" s="3" t="inlineStr">
        <is>
          <t>edfc276beedef3ec5e69d2c98b8755d4f5c7140ddf19f2ec802d784f44ccf5a7</t>
        </is>
      </c>
      <c r="AL5" s="2" t="n">
        <v>0.08580660000006901</v>
      </c>
      <c r="AM5" s="2" t="n">
        <v>0</v>
      </c>
      <c r="AN5" s="2" t="n">
        <v>0</v>
      </c>
      <c r="AO5" s="2" t="n">
        <v>177575.2229438817</v>
      </c>
    </row>
    <row r="6">
      <c r="A6" s="3" t="inlineStr">
        <is>
          <t>load_scan</t>
        </is>
      </c>
      <c r="B6" s="3" t="inlineStr">
        <is>
          <t>first-fit</t>
        </is>
      </c>
      <c r="C6" s="2" t="n">
        <v>15</v>
      </c>
      <c r="D6" s="2" t="n">
        <v>10.5</v>
      </c>
      <c r="E6" s="3" t="n">
        <v>53</v>
      </c>
      <c r="F6" s="2" t="n">
        <v>-35799.88908593118</v>
      </c>
      <c r="G6" s="2" t="n">
        <v>-35799.88908593118</v>
      </c>
      <c r="H6" s="2" t="n">
        <v>365866.1820302034</v>
      </c>
      <c r="I6" s="2" t="n">
        <v>367245.4780671105</v>
      </c>
      <c r="J6" s="5" t="n">
        <v>5.598261915066738e-15</v>
      </c>
      <c r="K6" s="5" t="n">
        <v>2.813144107523995e-12</v>
      </c>
      <c r="L6" s="5" t="n">
        <v>0.0003484322815953024</v>
      </c>
      <c r="M6" s="2" t="n">
        <v>11.6</v>
      </c>
      <c r="N6" s="2" t="n">
        <v>34.8</v>
      </c>
      <c r="O6" s="4" t="n">
        <v>0.64</v>
      </c>
      <c r="P6" s="2" t="n">
        <v>69188.00446460804</v>
      </c>
      <c r="Q6" s="2" t="n">
        <v>0</v>
      </c>
      <c r="R6" s="5" t="n">
        <v>0.246365124441606</v>
      </c>
      <c r="S6" s="5" t="n">
        <v>3.560806910793762e-06</v>
      </c>
      <c r="T6" s="5" t="n">
        <v>1.023220376664874e-07</v>
      </c>
      <c r="U6" s="5" t="n">
        <v>3.449098910793762e-06</v>
      </c>
      <c r="V6" s="5" t="n">
        <v>1.11708e-07</v>
      </c>
      <c r="W6" s="3" t="n">
        <v>0</v>
      </c>
      <c r="X6" s="2" t="n">
        <v>48.40030804768733</v>
      </c>
      <c r="Y6" s="3" t="n">
        <v>25</v>
      </c>
      <c r="Z6" s="3" t="inlineStr">
        <is>
          <t>[0, 1]</t>
        </is>
      </c>
      <c r="AA6" s="2" t="n">
        <v>10000</v>
      </c>
      <c r="AB6" s="3" t="n">
        <v>1</v>
      </c>
      <c r="AC6" s="3" t="n">
        <v>103</v>
      </c>
      <c r="AD6" s="3" t="n">
        <v>80</v>
      </c>
      <c r="AE6" s="3" t="n">
        <v>23</v>
      </c>
      <c r="AF6" s="4" t="n">
        <v>0.2233009708737864</v>
      </c>
      <c r="AG6" s="2" t="n">
        <v>11.56930713770683</v>
      </c>
      <c r="AH6" s="4" t="n">
        <v>0.8263790812647733</v>
      </c>
      <c r="AI6" s="3" t="n">
        <v>42</v>
      </c>
      <c r="AJ6" s="3" t="n">
        <v>25</v>
      </c>
      <c r="AK6" s="3" t="inlineStr">
        <is>
          <t>843be84633656761a4d61206260fa9a510fd4ce2ebd727a7f8d5baa3f5853ec9</t>
        </is>
      </c>
      <c r="AL6" s="2" t="n">
        <v>0.07074290000127803</v>
      </c>
      <c r="AM6" s="2" t="n">
        <v>0</v>
      </c>
      <c r="AN6" s="2" t="n">
        <v>0</v>
      </c>
      <c r="AO6" s="2" t="n">
        <v>0</v>
      </c>
    </row>
    <row r="7">
      <c r="A7" s="3" t="inlineStr">
        <is>
          <t>load_scan</t>
        </is>
      </c>
      <c r="B7" s="3" t="inlineStr">
        <is>
          <t>greedy_min_noise</t>
        </is>
      </c>
      <c r="C7" s="2" t="n">
        <v>15</v>
      </c>
      <c r="D7" s="2" t="n">
        <v>10.5</v>
      </c>
      <c r="E7" s="3" t="n">
        <v>53</v>
      </c>
      <c r="F7" s="2" t="n">
        <v>326182.9877835257</v>
      </c>
      <c r="G7" s="2" t="n">
        <v>326182.9877835257</v>
      </c>
      <c r="H7" s="2" t="n">
        <v>366570.6533824881</v>
      </c>
      <c r="I7" s="2" t="n">
        <v>367245.4780671105</v>
      </c>
      <c r="J7" s="5" t="n">
        <v>2.734432479594942e-15</v>
      </c>
      <c r="K7" s="5" t="n">
        <v>1.836120389589609e-13</v>
      </c>
      <c r="L7" s="5" t="n">
        <v>2.303478562444532e-05</v>
      </c>
      <c r="M7" s="2" t="n">
        <v>11.6</v>
      </c>
      <c r="N7" s="2" t="n">
        <v>34.8</v>
      </c>
      <c r="O7" s="4" t="n">
        <v>0</v>
      </c>
      <c r="P7" s="2" t="n">
        <v>69188.00446460802</v>
      </c>
      <c r="Q7" s="2" t="n">
        <v>0</v>
      </c>
      <c r="R7" s="5" t="n">
        <v>0.246365124441606</v>
      </c>
      <c r="S7" s="5" t="n">
        <v>3.560806910793762e-06</v>
      </c>
      <c r="T7" s="5" t="n">
        <v>1.023220376664874e-07</v>
      </c>
      <c r="U7" s="5" t="n">
        <v>3.449098910793763e-06</v>
      </c>
      <c r="V7" s="5" t="n">
        <v>1.11708e-07</v>
      </c>
      <c r="W7" s="3" t="n">
        <v>0</v>
      </c>
      <c r="X7" s="2" t="n">
        <v>48.40030804768733</v>
      </c>
      <c r="Y7" s="3" t="n">
        <v>25</v>
      </c>
      <c r="Z7" s="3" t="inlineStr">
        <is>
          <t>[0, 1]</t>
        </is>
      </c>
      <c r="AA7" s="2" t="n">
        <v>10000</v>
      </c>
      <c r="AB7" s="3" t="n">
        <v>1</v>
      </c>
      <c r="AC7" s="3" t="n">
        <v>103</v>
      </c>
      <c r="AD7" s="3" t="n">
        <v>80</v>
      </c>
      <c r="AE7" s="3" t="n">
        <v>23</v>
      </c>
      <c r="AF7" s="4" t="n">
        <v>0.2233009708737864</v>
      </c>
      <c r="AG7" s="2" t="n">
        <v>11.56930713770683</v>
      </c>
      <c r="AH7" s="4" t="n">
        <v>0.8263790812647733</v>
      </c>
      <c r="AI7" s="3" t="n">
        <v>42</v>
      </c>
      <c r="AJ7" s="3" t="n">
        <v>25</v>
      </c>
      <c r="AK7" s="3" t="inlineStr">
        <is>
          <t>843be84633656761a4d61206260fa9a510fd4ce2ebd727a7f8d5baa3f5853ec9</t>
        </is>
      </c>
      <c r="AL7" s="2" t="n">
        <v>0.1020490999999311</v>
      </c>
      <c r="AM7" s="2" t="n">
        <v>7.201090638010454e-08</v>
      </c>
      <c r="AN7" s="2" t="n">
        <v>-1.455191522836685e-11</v>
      </c>
      <c r="AO7" s="2" t="n">
        <v>361982.8768694569</v>
      </c>
    </row>
    <row r="8">
      <c r="A8" s="3" t="inlineStr">
        <is>
          <t>load_scan</t>
        </is>
      </c>
      <c r="B8" s="3" t="inlineStr">
        <is>
          <t>first-fit</t>
        </is>
      </c>
      <c r="C8" s="2" t="n">
        <v>20</v>
      </c>
      <c r="D8" s="2" t="n">
        <v>10.5</v>
      </c>
      <c r="E8" s="3" t="n">
        <v>53</v>
      </c>
      <c r="F8" s="2" t="n">
        <v>-77239.928960912</v>
      </c>
      <c r="G8" s="2" t="n">
        <v>-77239.928960912</v>
      </c>
      <c r="H8" s="2" t="n">
        <v>365805.9655988371</v>
      </c>
      <c r="I8" s="2" t="n">
        <v>367245.4780671105</v>
      </c>
      <c r="J8" s="5" t="n">
        <v>5.843415469009049e-15</v>
      </c>
      <c r="K8" s="5" t="n">
        <v>3.164374227844668e-12</v>
      </c>
      <c r="L8" s="5" t="n">
        <v>0.0003918790800428089</v>
      </c>
      <c r="M8" s="2" t="n">
        <v>12.16</v>
      </c>
      <c r="N8" s="2" t="n">
        <v>36.48</v>
      </c>
      <c r="O8" s="4" t="n">
        <v>0.72</v>
      </c>
      <c r="P8" s="2" t="n">
        <v>69188.00446460801</v>
      </c>
      <c r="Q8" s="2" t="n">
        <v>0</v>
      </c>
      <c r="R8" s="5" t="n">
        <v>0.2582586132077525</v>
      </c>
      <c r="S8" s="5" t="n">
        <v>3.732707934073462e-06</v>
      </c>
      <c r="T8" s="5" t="n">
        <v>1.023220376664874e-07</v>
      </c>
      <c r="U8" s="5" t="n">
        <v>3.615607134073462e-06</v>
      </c>
      <c r="V8" s="5" t="n">
        <v>1.171008e-07</v>
      </c>
      <c r="W8" s="3" t="n">
        <v>0</v>
      </c>
      <c r="X8" s="2" t="n">
        <v>48.40030804768733</v>
      </c>
      <c r="Y8" s="3" t="n">
        <v>25</v>
      </c>
      <c r="Z8" s="3" t="inlineStr">
        <is>
          <t>[0, 1]</t>
        </is>
      </c>
      <c r="AA8" s="2" t="n">
        <v>10000</v>
      </c>
      <c r="AB8" s="3" t="n">
        <v>1</v>
      </c>
      <c r="AC8" s="3" t="n">
        <v>138</v>
      </c>
      <c r="AD8" s="3" t="n">
        <v>78</v>
      </c>
      <c r="AE8" s="3" t="n">
        <v>60</v>
      </c>
      <c r="AF8" s="4" t="n">
        <v>0.4347826086956522</v>
      </c>
      <c r="AG8" s="2" t="n">
        <v>12.19339868813206</v>
      </c>
      <c r="AH8" s="4" t="n">
        <v>0.8709570491522908</v>
      </c>
      <c r="AI8" s="3" t="n">
        <v>42</v>
      </c>
      <c r="AJ8" s="3" t="n">
        <v>25</v>
      </c>
      <c r="AK8" s="3" t="inlineStr">
        <is>
          <t>34fb26df8a08f3ccac094bbfe21d6f7a0a4b7bb47097b783a736cd3904c7fa06</t>
        </is>
      </c>
      <c r="AL8" s="2" t="n">
        <v>0.07876949999990757</v>
      </c>
      <c r="AM8" s="2" t="n">
        <v>0</v>
      </c>
      <c r="AN8" s="2" t="n">
        <v>0</v>
      </c>
      <c r="AO8" s="2" t="n">
        <v>0</v>
      </c>
    </row>
    <row r="9">
      <c r="A9" s="3" t="inlineStr">
        <is>
          <t>load_scan</t>
        </is>
      </c>
      <c r="B9" s="3" t="inlineStr">
        <is>
          <t>greedy_min_noise</t>
        </is>
      </c>
      <c r="C9" s="2" t="n">
        <v>20</v>
      </c>
      <c r="D9" s="2" t="n">
        <v>10.5</v>
      </c>
      <c r="E9" s="3" t="n">
        <v>53</v>
      </c>
      <c r="F9" s="2" t="n">
        <v>321689.9449857196</v>
      </c>
      <c r="G9" s="2" t="n">
        <v>321689.9449857196</v>
      </c>
      <c r="H9" s="2" t="n">
        <v>366537.0391706278</v>
      </c>
      <c r="I9" s="2" t="n">
        <v>367245.4780671105</v>
      </c>
      <c r="J9" s="5" t="n">
        <v>2.87083456175057e-15</v>
      </c>
      <c r="K9" s="5" t="n">
        <v>2.049890395034592e-13</v>
      </c>
      <c r="L9" s="5" t="n">
        <v>2.56941148499024e-05</v>
      </c>
      <c r="M9" s="2" t="n">
        <v>12.16</v>
      </c>
      <c r="N9" s="2" t="n">
        <v>36.48</v>
      </c>
      <c r="O9" s="4" t="n">
        <v>0</v>
      </c>
      <c r="P9" s="2" t="n">
        <v>69188.00446460801</v>
      </c>
      <c r="Q9" s="2" t="n">
        <v>0</v>
      </c>
      <c r="R9" s="5" t="n">
        <v>0.2582586132077525</v>
      </c>
      <c r="S9" s="5" t="n">
        <v>3.732707934073462e-06</v>
      </c>
      <c r="T9" s="5" t="n">
        <v>1.023220376664874e-07</v>
      </c>
      <c r="U9" s="5" t="n">
        <v>3.615607134073462e-06</v>
      </c>
      <c r="V9" s="5" t="n">
        <v>1.171008e-07</v>
      </c>
      <c r="W9" s="3" t="n">
        <v>0</v>
      </c>
      <c r="X9" s="2" t="n">
        <v>48.40030804768733</v>
      </c>
      <c r="Y9" s="3" t="n">
        <v>25</v>
      </c>
      <c r="Z9" s="3" t="inlineStr">
        <is>
          <t>[0, 1]</t>
        </is>
      </c>
      <c r="AA9" s="2" t="n">
        <v>10000</v>
      </c>
      <c r="AB9" s="3" t="n">
        <v>1</v>
      </c>
      <c r="AC9" s="3" t="n">
        <v>138</v>
      </c>
      <c r="AD9" s="3" t="n">
        <v>78</v>
      </c>
      <c r="AE9" s="3" t="n">
        <v>60</v>
      </c>
      <c r="AF9" s="4" t="n">
        <v>0.4347826086956522</v>
      </c>
      <c r="AG9" s="2" t="n">
        <v>12.19339868813206</v>
      </c>
      <c r="AH9" s="4" t="n">
        <v>0.8709570491522908</v>
      </c>
      <c r="AI9" s="3" t="n">
        <v>42</v>
      </c>
      <c r="AJ9" s="3" t="n">
        <v>25</v>
      </c>
      <c r="AK9" s="3" t="inlineStr">
        <is>
          <t>34fb26df8a08f3ccac094bbfe21d6f7a0a4b7bb47097b783a736cd3904c7fa06</t>
        </is>
      </c>
      <c r="AL9" s="2" t="n">
        <v>0.1104816000006394</v>
      </c>
      <c r="AM9" s="2" t="n">
        <v>0</v>
      </c>
      <c r="AN9" s="2" t="n">
        <v>0</v>
      </c>
      <c r="AO9" s="2" t="n">
        <v>398929.8739466316</v>
      </c>
    </row>
    <row r="10">
      <c r="A10" s="3" t="inlineStr">
        <is>
          <t>load_scan</t>
        </is>
      </c>
      <c r="B10" s="3" t="inlineStr">
        <is>
          <t>first-fit</t>
        </is>
      </c>
      <c r="C10" s="2" t="n">
        <v>25</v>
      </c>
      <c r="D10" s="2" t="n">
        <v>10.5</v>
      </c>
      <c r="E10" s="3" t="n">
        <v>53</v>
      </c>
      <c r="F10" s="2" t="n">
        <v>-186819.1767633526</v>
      </c>
      <c r="G10" s="2" t="n">
        <v>-186819.1767633526</v>
      </c>
      <c r="H10" s="2" t="n">
        <v>365698.1376088228</v>
      </c>
      <c r="I10" s="2" t="n">
        <v>367245.4780671105</v>
      </c>
      <c r="J10" s="5" t="n">
        <v>6.282592084105402e-15</v>
      </c>
      <c r="K10" s="5" t="n">
        <v>3.972601245049663e-12</v>
      </c>
      <c r="L10" s="5" t="n">
        <v>0.0004918404706319729</v>
      </c>
      <c r="M10" s="2" t="n">
        <v>13.16</v>
      </c>
      <c r="N10" s="2" t="n">
        <v>39.48</v>
      </c>
      <c r="O10" s="4" t="n">
        <v>0.96</v>
      </c>
      <c r="P10" s="2" t="n">
        <v>69188.00446460802</v>
      </c>
      <c r="Q10" s="2" t="n">
        <v>0</v>
      </c>
      <c r="R10" s="5" t="n">
        <v>0.2794969860044426</v>
      </c>
      <c r="S10" s="5" t="n">
        <v>4.039674047072924e-06</v>
      </c>
      <c r="T10" s="5" t="n">
        <v>1.023220376664874e-07</v>
      </c>
      <c r="U10" s="5" t="n">
        <v>3.912943247072924e-06</v>
      </c>
      <c r="V10" s="5" t="n">
        <v>1.267308e-07</v>
      </c>
      <c r="W10" s="3" t="n">
        <v>0</v>
      </c>
      <c r="X10" s="2" t="n">
        <v>48.40030804768733</v>
      </c>
      <c r="Y10" s="3" t="n">
        <v>25</v>
      </c>
      <c r="Z10" s="3" t="inlineStr">
        <is>
          <t>[0, 1]</t>
        </is>
      </c>
      <c r="AA10" s="2" t="n">
        <v>10000</v>
      </c>
      <c r="AB10" s="3" t="n">
        <v>1</v>
      </c>
      <c r="AC10" s="3" t="n">
        <v>169</v>
      </c>
      <c r="AD10" s="3" t="n">
        <v>80</v>
      </c>
      <c r="AE10" s="3" t="n">
        <v>89</v>
      </c>
      <c r="AF10" s="4" t="n">
        <v>0.5266272189349113</v>
      </c>
      <c r="AG10" s="2" t="n">
        <v>13.16565567198684</v>
      </c>
      <c r="AH10" s="4" t="n">
        <v>0.9404039765704885</v>
      </c>
      <c r="AI10" s="3" t="n">
        <v>42</v>
      </c>
      <c r="AJ10" s="3" t="n">
        <v>25</v>
      </c>
      <c r="AK10" s="3" t="inlineStr">
        <is>
          <t>3f5f3b15bdc0594dd1ea3705e5c0fc7e9533faed62464db5f5886e264ea0d77e</t>
        </is>
      </c>
      <c r="AL10" s="2" t="n">
        <v>0.08091860000058659</v>
      </c>
      <c r="AM10" s="2" t="n">
        <v>0</v>
      </c>
      <c r="AN10" s="2" t="n">
        <v>0</v>
      </c>
      <c r="AO10" s="2" t="n">
        <v>0</v>
      </c>
    </row>
    <row r="11">
      <c r="A11" s="3" t="inlineStr">
        <is>
          <t>load_scan</t>
        </is>
      </c>
      <c r="B11" s="3" t="inlineStr">
        <is>
          <t>greedy_min_noise</t>
        </is>
      </c>
      <c r="C11" s="2" t="n">
        <v>25</v>
      </c>
      <c r="D11" s="2" t="n">
        <v>10.5</v>
      </c>
      <c r="E11" s="3" t="n">
        <v>53</v>
      </c>
      <c r="F11" s="2" t="n">
        <v>310117.402912654</v>
      </c>
      <c r="G11" s="2" t="n">
        <v>310117.402912654</v>
      </c>
      <c r="H11" s="2" t="n">
        <v>366459.5666258211</v>
      </c>
      <c r="I11" s="2" t="n">
        <v>367245.4780671105</v>
      </c>
      <c r="J11" s="5" t="n">
        <v>3.185199206422472e-15</v>
      </c>
      <c r="K11" s="5" t="n">
        <v>2.574236382425545e-13</v>
      </c>
      <c r="L11" s="5" t="n">
        <v>3.221455526434532e-05</v>
      </c>
      <c r="M11" s="2" t="n">
        <v>13.16</v>
      </c>
      <c r="N11" s="2" t="n">
        <v>39.48</v>
      </c>
      <c r="O11" s="4" t="n">
        <v>0</v>
      </c>
      <c r="P11" s="2" t="n">
        <v>69188.00446460801</v>
      </c>
      <c r="Q11" s="2" t="n">
        <v>0</v>
      </c>
      <c r="R11" s="5" t="n">
        <v>0.2794969860044426</v>
      </c>
      <c r="S11" s="5" t="n">
        <v>4.039674047072924e-06</v>
      </c>
      <c r="T11" s="5" t="n">
        <v>1.023220376664875e-07</v>
      </c>
      <c r="U11" s="5" t="n">
        <v>3.912943247072925e-06</v>
      </c>
      <c r="V11" s="5" t="n">
        <v>1.267308e-07</v>
      </c>
      <c r="W11" s="3" t="n">
        <v>0</v>
      </c>
      <c r="X11" s="2" t="n">
        <v>48.40030804768733</v>
      </c>
      <c r="Y11" s="3" t="n">
        <v>25</v>
      </c>
      <c r="Z11" s="3" t="inlineStr">
        <is>
          <t>[0, 1]</t>
        </is>
      </c>
      <c r="AA11" s="2" t="n">
        <v>10000</v>
      </c>
      <c r="AB11" s="3" t="n">
        <v>1</v>
      </c>
      <c r="AC11" s="3" t="n">
        <v>169</v>
      </c>
      <c r="AD11" s="3" t="n">
        <v>80</v>
      </c>
      <c r="AE11" s="3" t="n">
        <v>89</v>
      </c>
      <c r="AF11" s="4" t="n">
        <v>0.5266272189349113</v>
      </c>
      <c r="AG11" s="2" t="n">
        <v>13.16565567198684</v>
      </c>
      <c r="AH11" s="4" t="n">
        <v>0.9404039765704885</v>
      </c>
      <c r="AI11" s="3" t="n">
        <v>42</v>
      </c>
      <c r="AJ11" s="3" t="n">
        <v>25</v>
      </c>
      <c r="AK11" s="3" t="inlineStr">
        <is>
          <t>3f5f3b15bdc0594dd1ea3705e5c0fc7e9533faed62464db5f5886e264ea0d77e</t>
        </is>
      </c>
      <c r="AL11" s="2" t="n">
        <v>0.1129161000008025</v>
      </c>
      <c r="AM11" s="2" t="n">
        <v>5.966089293151464e-08</v>
      </c>
      <c r="AN11" s="2" t="n">
        <v>-1.455191522836685e-11</v>
      </c>
      <c r="AO11" s="2" t="n">
        <v>496936.5796760066</v>
      </c>
    </row>
    <row r="12">
      <c r="A12" s="3" t="inlineStr">
        <is>
          <t>load_scan</t>
        </is>
      </c>
      <c r="B12" s="3" t="inlineStr">
        <is>
          <t>first-fit</t>
        </is>
      </c>
      <c r="C12" s="2" t="n">
        <v>30</v>
      </c>
      <c r="D12" s="2" t="n">
        <v>10.5</v>
      </c>
      <c r="E12" s="3" t="n">
        <v>53</v>
      </c>
      <c r="F12" s="2" t="n">
        <v>-112169.0783986337</v>
      </c>
      <c r="G12" s="2" t="n">
        <v>-112169.0783986337</v>
      </c>
      <c r="H12" s="2" t="n">
        <v>365751.9240479219</v>
      </c>
      <c r="I12" s="2" t="n">
        <v>367245.4780671105</v>
      </c>
      <c r="J12" s="5" t="n">
        <v>6.063678472342012e-15</v>
      </c>
      <c r="K12" s="5" t="n">
        <v>3.46516606184984e-12</v>
      </c>
      <c r="L12" s="5" t="n">
        <v>0.0004290879902595067</v>
      </c>
      <c r="M12" s="2" t="n">
        <v>12.68</v>
      </c>
      <c r="N12" s="2" t="n">
        <v>38.04</v>
      </c>
      <c r="O12" s="4" t="n">
        <v>0.76</v>
      </c>
      <c r="P12" s="2" t="n">
        <v>69188.00446460804</v>
      </c>
      <c r="Q12" s="2" t="n">
        <v>0</v>
      </c>
      <c r="R12" s="5" t="n">
        <v>0.2693025670620314</v>
      </c>
      <c r="S12" s="5" t="n">
        <v>3.892330312833182e-06</v>
      </c>
      <c r="T12" s="5" t="n">
        <v>1.023220376664874e-07</v>
      </c>
      <c r="U12" s="5" t="n">
        <v>3.770221912833182e-06</v>
      </c>
      <c r="V12" s="5" t="n">
        <v>1.221084e-07</v>
      </c>
      <c r="W12" s="3" t="n">
        <v>0</v>
      </c>
      <c r="X12" s="2" t="n">
        <v>48.40030804768733</v>
      </c>
      <c r="Y12" s="3" t="n">
        <v>25</v>
      </c>
      <c r="Z12" s="3" t="inlineStr">
        <is>
          <t>[0, 1]</t>
        </is>
      </c>
      <c r="AA12" s="2" t="n">
        <v>10000</v>
      </c>
      <c r="AB12" s="3" t="n">
        <v>1</v>
      </c>
      <c r="AC12" s="3" t="n">
        <v>206</v>
      </c>
      <c r="AD12" s="3" t="n">
        <v>90</v>
      </c>
      <c r="AE12" s="3" t="n">
        <v>116</v>
      </c>
      <c r="AF12" s="4" t="n">
        <v>0.5631067961165048</v>
      </c>
      <c r="AG12" s="2" t="n">
        <v>12.75093988541052</v>
      </c>
      <c r="AH12" s="4" t="n">
        <v>0.9107814203864658</v>
      </c>
      <c r="AI12" s="3" t="n">
        <v>42</v>
      </c>
      <c r="AJ12" s="3" t="n">
        <v>25</v>
      </c>
      <c r="AK12" s="3" t="inlineStr">
        <is>
          <t>05640e8b67ad974a2748ea2e6dd2ac94d8dbec8276f73b3293bfa01bed6d387c</t>
        </is>
      </c>
      <c r="AL12" s="2" t="n">
        <v>0.09768350000013015</v>
      </c>
      <c r="AM12" s="2" t="n">
        <v>0</v>
      </c>
      <c r="AN12" s="2" t="n">
        <v>0</v>
      </c>
      <c r="AO12" s="2" t="n">
        <v>0</v>
      </c>
    </row>
    <row r="13">
      <c r="A13" s="3" t="inlineStr">
        <is>
          <t>load_scan</t>
        </is>
      </c>
      <c r="B13" s="3" t="inlineStr">
        <is>
          <t>greedy_min_noise</t>
        </is>
      </c>
      <c r="C13" s="2" t="n">
        <v>30</v>
      </c>
      <c r="D13" s="2" t="n">
        <v>10.5</v>
      </c>
      <c r="E13" s="3" t="n">
        <v>53</v>
      </c>
      <c r="F13" s="2" t="n">
        <v>316768.5626269146</v>
      </c>
      <c r="G13" s="2" t="n">
        <v>316768.5626269146</v>
      </c>
      <c r="H13" s="2" t="n">
        <v>366501.6673069729</v>
      </c>
      <c r="I13" s="2" t="n">
        <v>367245.4780671105</v>
      </c>
      <c r="J13" s="5" t="n">
        <v>3.014364495330963e-15</v>
      </c>
      <c r="K13" s="5" t="n">
        <v>2.282893462249123e-13</v>
      </c>
      <c r="L13" s="5" t="n">
        <v>2.859207018758247e-05</v>
      </c>
      <c r="M13" s="2" t="n">
        <v>12.68</v>
      </c>
      <c r="N13" s="2" t="n">
        <v>38.04</v>
      </c>
      <c r="O13" s="4" t="n">
        <v>0</v>
      </c>
      <c r="P13" s="2" t="n">
        <v>69188.00446460802</v>
      </c>
      <c r="Q13" s="2" t="n">
        <v>0</v>
      </c>
      <c r="R13" s="5" t="n">
        <v>0.2693025670620314</v>
      </c>
      <c r="S13" s="5" t="n">
        <v>3.892330312833183e-06</v>
      </c>
      <c r="T13" s="5" t="n">
        <v>1.023220376664874e-07</v>
      </c>
      <c r="U13" s="5" t="n">
        <v>3.770221912833182e-06</v>
      </c>
      <c r="V13" s="5" t="n">
        <v>1.221084e-07</v>
      </c>
      <c r="W13" s="3" t="n">
        <v>0</v>
      </c>
      <c r="X13" s="2" t="n">
        <v>48.40030804768733</v>
      </c>
      <c r="Y13" s="3" t="n">
        <v>25</v>
      </c>
      <c r="Z13" s="3" t="inlineStr">
        <is>
          <t>[0, 1]</t>
        </is>
      </c>
      <c r="AA13" s="2" t="n">
        <v>10000</v>
      </c>
      <c r="AB13" s="3" t="n">
        <v>1</v>
      </c>
      <c r="AC13" s="3" t="n">
        <v>206</v>
      </c>
      <c r="AD13" s="3" t="n">
        <v>90</v>
      </c>
      <c r="AE13" s="3" t="n">
        <v>116</v>
      </c>
      <c r="AF13" s="4" t="n">
        <v>0.5631067961165048</v>
      </c>
      <c r="AG13" s="2" t="n">
        <v>12.75093988541052</v>
      </c>
      <c r="AH13" s="4" t="n">
        <v>0.9107814203864658</v>
      </c>
      <c r="AI13" s="3" t="n">
        <v>42</v>
      </c>
      <c r="AJ13" s="3" t="n">
        <v>25</v>
      </c>
      <c r="AK13" s="3" t="inlineStr">
        <is>
          <t>05640e8b67ad974a2748ea2e6dd2ac94d8dbec8276f73b3293bfa01bed6d387c</t>
        </is>
      </c>
      <c r="AL13" s="2" t="n">
        <v>0.1282671999997547</v>
      </c>
      <c r="AM13" s="2" t="n">
        <v>7.838831752943998e-08</v>
      </c>
      <c r="AN13" s="2" t="n">
        <v>-1.455191522836685e-11</v>
      </c>
      <c r="AO13" s="2" t="n">
        <v>428937.6410255483</v>
      </c>
    </row>
    <row r="14">
      <c r="A14" s="3" t="inlineStr">
        <is>
          <t>load_scan</t>
        </is>
      </c>
      <c r="B14" s="3" t="inlineStr">
        <is>
          <t>first-fit</t>
        </is>
      </c>
      <c r="C14" s="2" t="n">
        <v>35</v>
      </c>
      <c r="D14" s="2" t="n">
        <v>10.5</v>
      </c>
      <c r="E14" s="3" t="n">
        <v>53</v>
      </c>
      <c r="F14" s="2" t="n">
        <v>-166070.2799415207</v>
      </c>
      <c r="G14" s="2" t="n">
        <v>-166070.2799415207</v>
      </c>
      <c r="H14" s="2" t="n">
        <v>365677.2210593673</v>
      </c>
      <c r="I14" s="2" t="n">
        <v>367245.4780671105</v>
      </c>
      <c r="J14" s="5" t="n">
        <v>6.367840385833269e-15</v>
      </c>
      <c r="K14" s="5" t="n">
        <v>3.84402211710407e-12</v>
      </c>
      <c r="L14" s="5" t="n">
        <v>0.0004759569985769323</v>
      </c>
      <c r="M14" s="2" t="n">
        <v>13.32</v>
      </c>
      <c r="N14" s="2" t="n">
        <v>39.96</v>
      </c>
      <c r="O14" s="4" t="n">
        <v>0.8</v>
      </c>
      <c r="P14" s="2" t="n">
        <v>69188.00446460802</v>
      </c>
      <c r="Q14" s="2" t="n">
        <v>0</v>
      </c>
      <c r="R14" s="5" t="n">
        <v>0.282895125651913</v>
      </c>
      <c r="S14" s="5" t="n">
        <v>4.088788625152837e-06</v>
      </c>
      <c r="T14" s="5" t="n">
        <v>1.023220376664874e-07</v>
      </c>
      <c r="U14" s="5" t="n">
        <v>3.960517025152838e-06</v>
      </c>
      <c r="V14" s="5" t="n">
        <v>1.282716e-07</v>
      </c>
      <c r="W14" s="3" t="n">
        <v>0</v>
      </c>
      <c r="X14" s="2" t="n">
        <v>48.40030804768733</v>
      </c>
      <c r="Y14" s="3" t="n">
        <v>25</v>
      </c>
      <c r="Z14" s="3" t="inlineStr">
        <is>
          <t>[0, 1]</t>
        </is>
      </c>
      <c r="AA14" s="2" t="n">
        <v>10000</v>
      </c>
      <c r="AB14" s="3" t="n">
        <v>1</v>
      </c>
      <c r="AC14" s="3" t="n">
        <v>245</v>
      </c>
      <c r="AD14" s="3" t="n">
        <v>78</v>
      </c>
      <c r="AE14" s="3" t="n">
        <v>167</v>
      </c>
      <c r="AF14" s="4" t="n">
        <v>0.6816326530612244</v>
      </c>
      <c r="AG14" s="2" t="n">
        <v>13.19864345044454</v>
      </c>
      <c r="AH14" s="4" t="n">
        <v>0.9427602464603252</v>
      </c>
      <c r="AI14" s="3" t="n">
        <v>42</v>
      </c>
      <c r="AJ14" s="3" t="n">
        <v>25</v>
      </c>
      <c r="AK14" s="3" t="inlineStr">
        <is>
          <t>7db707426bf4c6fa73d4baf22cf24b164de11b4cd1991a748e84022acd96b0a2</t>
        </is>
      </c>
      <c r="AL14" s="2" t="n">
        <v>0.101670699999886</v>
      </c>
      <c r="AM14" s="2" t="n">
        <v>0</v>
      </c>
      <c r="AN14" s="2" t="n">
        <v>0</v>
      </c>
      <c r="AO14" s="2" t="n">
        <v>0</v>
      </c>
    </row>
    <row r="15">
      <c r="A15" s="3" t="inlineStr">
        <is>
          <t>load_scan</t>
        </is>
      </c>
      <c r="B15" s="3" t="inlineStr">
        <is>
          <t>greedy_min_noise</t>
        </is>
      </c>
      <c r="C15" s="2" t="n">
        <v>35</v>
      </c>
      <c r="D15" s="2" t="n">
        <v>10.5</v>
      </c>
      <c r="E15" s="3" t="n">
        <v>53</v>
      </c>
      <c r="F15" s="2" t="n">
        <v>309645.5471817929</v>
      </c>
      <c r="G15" s="2" t="n">
        <v>309645.5471817929</v>
      </c>
      <c r="H15" s="2" t="n">
        <v>366457.8044026297</v>
      </c>
      <c r="I15" s="2" t="n">
        <v>367245.4780671105</v>
      </c>
      <c r="J15" s="5" t="n">
        <v>3.192360532731063e-15</v>
      </c>
      <c r="K15" s="5" t="n">
        <v>2.607759015726667e-13</v>
      </c>
      <c r="L15" s="5" t="n">
        <v>3.26298227292173e-05</v>
      </c>
      <c r="M15" s="2" t="n">
        <v>13.32</v>
      </c>
      <c r="N15" s="2" t="n">
        <v>39.96</v>
      </c>
      <c r="O15" s="4" t="n">
        <v>0</v>
      </c>
      <c r="P15" s="2" t="n">
        <v>69188.00446460801</v>
      </c>
      <c r="Q15" s="2" t="n">
        <v>0</v>
      </c>
      <c r="R15" s="5" t="n">
        <v>0.282895125651913</v>
      </c>
      <c r="S15" s="5" t="n">
        <v>4.088788625152839e-06</v>
      </c>
      <c r="T15" s="5" t="n">
        <v>1.023220376664874e-07</v>
      </c>
      <c r="U15" s="5" t="n">
        <v>3.960517025152838e-06</v>
      </c>
      <c r="V15" s="5" t="n">
        <v>1.282716e-07</v>
      </c>
      <c r="W15" s="3" t="n">
        <v>0</v>
      </c>
      <c r="X15" s="2" t="n">
        <v>48.40030804768733</v>
      </c>
      <c r="Y15" s="3" t="n">
        <v>25</v>
      </c>
      <c r="Z15" s="3" t="inlineStr">
        <is>
          <t>[0, 1]</t>
        </is>
      </c>
      <c r="AA15" s="2" t="n">
        <v>10000</v>
      </c>
      <c r="AB15" s="3" t="n">
        <v>1</v>
      </c>
      <c r="AC15" s="3" t="n">
        <v>245</v>
      </c>
      <c r="AD15" s="3" t="n">
        <v>78</v>
      </c>
      <c r="AE15" s="3" t="n">
        <v>167</v>
      </c>
      <c r="AF15" s="4" t="n">
        <v>0.6816326530612244</v>
      </c>
      <c r="AG15" s="2" t="n">
        <v>13.19864345044454</v>
      </c>
      <c r="AH15" s="4" t="n">
        <v>0.9427602464603252</v>
      </c>
      <c r="AI15" s="3" t="n">
        <v>42</v>
      </c>
      <c r="AJ15" s="3" t="n">
        <v>25</v>
      </c>
      <c r="AK15" s="3" t="inlineStr">
        <is>
          <t>7db707426bf4c6fa73d4baf22cf24b164de11b4cd1991a748e84022acd96b0a2</t>
        </is>
      </c>
      <c r="AL15" s="2" t="n">
        <v>0.1303053999999975</v>
      </c>
      <c r="AM15" s="2" t="n">
        <v>5.837314144038105e-08</v>
      </c>
      <c r="AN15" s="2" t="n">
        <v>-1.455191522836685e-11</v>
      </c>
      <c r="AO15" s="2" t="n">
        <v>475715.8271233136</v>
      </c>
    </row>
    <row r="16">
      <c r="A16" s="3" t="inlineStr">
        <is>
          <t>load_scan</t>
        </is>
      </c>
      <c r="B16" s="3" t="inlineStr">
        <is>
          <t>first-fit</t>
        </is>
      </c>
      <c r="C16" s="2" t="n">
        <v>40</v>
      </c>
      <c r="D16" s="2" t="n">
        <v>10.5</v>
      </c>
      <c r="E16" s="3" t="n">
        <v>53</v>
      </c>
      <c r="F16" s="2" t="n">
        <v>-130828.7143152771</v>
      </c>
      <c r="G16" s="2" t="n">
        <v>-130828.7143152771</v>
      </c>
      <c r="H16" s="2" t="n">
        <v>365706.4535909098</v>
      </c>
      <c r="I16" s="2" t="n">
        <v>367245.4780671105</v>
      </c>
      <c r="J16" s="5" t="n">
        <v>6.248799413332863e-15</v>
      </c>
      <c r="K16" s="5" t="n">
        <v>3.582559612972837e-12</v>
      </c>
      <c r="L16" s="5" t="n">
        <v>0.000443622204318365</v>
      </c>
      <c r="M16" s="2" t="n">
        <v>13</v>
      </c>
      <c r="N16" s="2" t="n">
        <v>39</v>
      </c>
      <c r="O16" s="4" t="n">
        <v>0.76</v>
      </c>
      <c r="P16" s="2" t="n">
        <v>69188.00446460804</v>
      </c>
      <c r="Q16" s="2" t="n">
        <v>0</v>
      </c>
      <c r="R16" s="5" t="n">
        <v>0.2760988463569722</v>
      </c>
      <c r="S16" s="5" t="n">
        <v>3.99055946899301e-06</v>
      </c>
      <c r="T16" s="5" t="n">
        <v>1.023220376664874e-07</v>
      </c>
      <c r="U16" s="5" t="n">
        <v>3.86536946899301e-06</v>
      </c>
      <c r="V16" s="5" t="n">
        <v>1.2519e-07</v>
      </c>
      <c r="W16" s="3" t="n">
        <v>0</v>
      </c>
      <c r="X16" s="2" t="n">
        <v>48.40030804768733</v>
      </c>
      <c r="Y16" s="3" t="n">
        <v>25</v>
      </c>
      <c r="Z16" s="3" t="inlineStr">
        <is>
          <t>[0, 1]</t>
        </is>
      </c>
      <c r="AA16" s="2" t="n">
        <v>10000</v>
      </c>
      <c r="AB16" s="3" t="n">
        <v>1</v>
      </c>
      <c r="AC16" s="3" t="n">
        <v>262</v>
      </c>
      <c r="AD16" s="3" t="n">
        <v>79</v>
      </c>
      <c r="AE16" s="3" t="n">
        <v>183</v>
      </c>
      <c r="AF16" s="4" t="n">
        <v>0.6984732824427481</v>
      </c>
      <c r="AG16" s="2" t="n">
        <v>13.02501870863681</v>
      </c>
      <c r="AH16" s="4" t="n">
        <v>0.930358479188343</v>
      </c>
      <c r="AI16" s="3" t="n">
        <v>42</v>
      </c>
      <c r="AJ16" s="3" t="n">
        <v>25</v>
      </c>
      <c r="AK16" s="3" t="inlineStr">
        <is>
          <t>46e06a0abf190e059bf27eaffc0b25d4cc32f9682a3ac47ac74ebac3c7d5377c</t>
        </is>
      </c>
      <c r="AL16" s="2" t="n">
        <v>0.1067257000013342</v>
      </c>
      <c r="AM16" s="2" t="n">
        <v>0</v>
      </c>
      <c r="AN16" s="2" t="n">
        <v>0</v>
      </c>
      <c r="AO16" s="2" t="n">
        <v>0</v>
      </c>
    </row>
    <row r="17">
      <c r="A17" s="3" t="inlineStr">
        <is>
          <t>load_scan</t>
        </is>
      </c>
      <c r="B17" s="3" t="inlineStr">
        <is>
          <t>greedy_min_noise</t>
        </is>
      </c>
      <c r="C17" s="2" t="n">
        <v>40</v>
      </c>
      <c r="D17" s="2" t="n">
        <v>10.5</v>
      </c>
      <c r="E17" s="3" t="n">
        <v>53</v>
      </c>
      <c r="F17" s="2" t="n">
        <v>312338.7797291678</v>
      </c>
      <c r="G17" s="2" t="n">
        <v>312338.7797291678</v>
      </c>
      <c r="H17" s="2" t="n">
        <v>366460.5049778228</v>
      </c>
      <c r="I17" s="2" t="n">
        <v>367245.4780671105</v>
      </c>
      <c r="J17" s="5" t="n">
        <v>3.181394358625613e-15</v>
      </c>
      <c r="K17" s="5" t="n">
        <v>2.48559595603366e-13</v>
      </c>
      <c r="L17" s="5" t="n">
        <v>3.111837692388053e-05</v>
      </c>
      <c r="M17" s="2" t="n">
        <v>13</v>
      </c>
      <c r="N17" s="2" t="n">
        <v>39</v>
      </c>
      <c r="O17" s="4" t="n">
        <v>0</v>
      </c>
      <c r="P17" s="2" t="n">
        <v>69188.00446460802</v>
      </c>
      <c r="Q17" s="2" t="n">
        <v>0</v>
      </c>
      <c r="R17" s="5" t="n">
        <v>0.2760988463569722</v>
      </c>
      <c r="S17" s="5" t="n">
        <v>3.99055946899301e-06</v>
      </c>
      <c r="T17" s="5" t="n">
        <v>1.023220376664874e-07</v>
      </c>
      <c r="U17" s="5" t="n">
        <v>3.865369468993011e-06</v>
      </c>
      <c r="V17" s="5" t="n">
        <v>1.2519e-07</v>
      </c>
      <c r="W17" s="3" t="n">
        <v>0</v>
      </c>
      <c r="X17" s="2" t="n">
        <v>48.40030804768733</v>
      </c>
      <c r="Y17" s="3" t="n">
        <v>25</v>
      </c>
      <c r="Z17" s="3" t="inlineStr">
        <is>
          <t>[0, 1]</t>
        </is>
      </c>
      <c r="AA17" s="2" t="n">
        <v>10000</v>
      </c>
      <c r="AB17" s="3" t="n">
        <v>1</v>
      </c>
      <c r="AC17" s="3" t="n">
        <v>262</v>
      </c>
      <c r="AD17" s="3" t="n">
        <v>79</v>
      </c>
      <c r="AE17" s="3" t="n">
        <v>183</v>
      </c>
      <c r="AF17" s="4" t="n">
        <v>0.6984732824427481</v>
      </c>
      <c r="AG17" s="2" t="n">
        <v>13.02501870863681</v>
      </c>
      <c r="AH17" s="4" t="n">
        <v>0.930358479188343</v>
      </c>
      <c r="AI17" s="3" t="n">
        <v>42</v>
      </c>
      <c r="AJ17" s="3" t="n">
        <v>25</v>
      </c>
      <c r="AK17" s="3" t="inlineStr">
        <is>
          <t>46e06a0abf190e059bf27eaffc0b25d4cc32f9682a3ac47ac74ebac3c7d5377c</t>
        </is>
      </c>
      <c r="AL17" s="2" t="n">
        <v>0.1762947000006534</v>
      </c>
      <c r="AM17" s="2" t="n">
        <v>7.96779611455024e-08</v>
      </c>
      <c r="AN17" s="2" t="n">
        <v>-1.455191522836685e-11</v>
      </c>
      <c r="AO17" s="2" t="n">
        <v>443167.4940444449</v>
      </c>
    </row>
    <row r="18">
      <c r="A18" s="3" t="inlineStr">
        <is>
          <t>power_scan</t>
        </is>
      </c>
      <c r="B18" s="3" t="inlineStr">
        <is>
          <t>first-fit</t>
        </is>
      </c>
      <c r="C18" s="3" t="n">
        <v>10</v>
      </c>
      <c r="D18" s="3" t="n">
        <v>7</v>
      </c>
      <c r="E18" s="3" t="n">
        <v>53</v>
      </c>
      <c r="F18" s="2" t="n">
        <v>340314.7203213694</v>
      </c>
      <c r="G18" s="2" t="n">
        <v>340314.7203213694</v>
      </c>
      <c r="H18" s="2" t="n">
        <v>366713.1439613362</v>
      </c>
      <c r="I18" s="2" t="n">
        <v>367245.4780671105</v>
      </c>
      <c r="J18" s="5" t="n">
        <v>2.156203078287855e-15</v>
      </c>
      <c r="K18" s="5" t="n">
        <v>1.22375216880695e-13</v>
      </c>
      <c r="L18" s="5" t="n">
        <v>1.539366181778651e-05</v>
      </c>
      <c r="M18" s="2" t="n">
        <v>9.800000000000001</v>
      </c>
      <c r="N18" s="2" t="n">
        <v>29.4</v>
      </c>
      <c r="O18" s="4" t="n">
        <v>0</v>
      </c>
      <c r="P18" s="2" t="n">
        <v>66599.89345569645</v>
      </c>
      <c r="Q18" s="2" t="n">
        <v>0</v>
      </c>
      <c r="R18" s="5" t="n">
        <v>0.09297096417633616</v>
      </c>
      <c r="S18" s="5" t="n">
        <v>1.395962656279357e-06</v>
      </c>
      <c r="T18" s="5" t="n">
        <v>4.748172300269921e-08</v>
      </c>
      <c r="U18" s="5" t="n">
        <v>1.301588656279357e-06</v>
      </c>
      <c r="V18" s="5" t="n">
        <v>9.437399999999997e-08</v>
      </c>
      <c r="W18" s="3" t="n">
        <v>0</v>
      </c>
      <c r="X18" s="2" t="n">
        <v>48.23473534400929</v>
      </c>
      <c r="Y18" s="3" t="n">
        <v>25</v>
      </c>
      <c r="Z18" s="3" t="inlineStr">
        <is>
          <t>[0, 1]</t>
        </is>
      </c>
      <c r="AA18" s="2" t="n">
        <v>10000</v>
      </c>
      <c r="AB18" s="3" t="n">
        <v>1</v>
      </c>
      <c r="AC18" s="3" t="n">
        <v>69</v>
      </c>
      <c r="AD18" s="3" t="n">
        <v>60</v>
      </c>
      <c r="AE18" s="3" t="n">
        <v>9</v>
      </c>
      <c r="AF18" s="4" t="n">
        <v>0.1304347826086956</v>
      </c>
      <c r="AG18" s="2" t="n">
        <v>9.550452969581453</v>
      </c>
      <c r="AH18" s="4" t="n">
        <v>0.6821752121129602</v>
      </c>
      <c r="AI18" s="3" t="n">
        <v>42</v>
      </c>
      <c r="AJ18" s="3" t="n">
        <v>25</v>
      </c>
      <c r="AK18" s="3" t="inlineStr">
        <is>
          <t>edfc276beedef3ec5e69d2c98b8755d4f5c7140ddf19f2ec802d784f44ccf5a7</t>
        </is>
      </c>
      <c r="AL18" s="2" t="n">
        <v>0.05951830000049085</v>
      </c>
      <c r="AM18" s="2" t="n">
        <v>0</v>
      </c>
      <c r="AN18" s="2" t="n">
        <v>0</v>
      </c>
      <c r="AO18" s="2" t="n">
        <v>0</v>
      </c>
    </row>
    <row r="19">
      <c r="A19" s="3" t="inlineStr">
        <is>
          <t>power_scan</t>
        </is>
      </c>
      <c r="B19" s="3" t="inlineStr">
        <is>
          <t>greedy_min_noise</t>
        </is>
      </c>
      <c r="C19" s="3" t="n">
        <v>10</v>
      </c>
      <c r="D19" s="3" t="n">
        <v>7</v>
      </c>
      <c r="E19" s="3" t="n">
        <v>53</v>
      </c>
      <c r="F19" s="2" t="n">
        <v>364710.2750183727</v>
      </c>
      <c r="G19" s="2" t="n">
        <v>364710.2750183727</v>
      </c>
      <c r="H19" s="2" t="n">
        <v>366995.9943927985</v>
      </c>
      <c r="I19" s="2" t="n">
        <v>367245.4780671105</v>
      </c>
      <c r="J19" s="5" t="n">
        <v>1.009857582327842e-15</v>
      </c>
      <c r="K19" s="5" t="n">
        <v>9.367848078741172e-15</v>
      </c>
      <c r="L19" s="5" t="n">
        <v>1.282815946719651e-06</v>
      </c>
      <c r="M19" s="2" t="n">
        <v>9.800000000000001</v>
      </c>
      <c r="N19" s="2" t="n">
        <v>29.4</v>
      </c>
      <c r="O19" s="4" t="n">
        <v>0</v>
      </c>
      <c r="P19" s="2" t="n">
        <v>66599.89345569647</v>
      </c>
      <c r="Q19" s="2" t="n">
        <v>0</v>
      </c>
      <c r="R19" s="5" t="n">
        <v>0.09297096417633616</v>
      </c>
      <c r="S19" s="5" t="n">
        <v>1.395962656279357e-06</v>
      </c>
      <c r="T19" s="5" t="n">
        <v>4.748172300269919e-08</v>
      </c>
      <c r="U19" s="5" t="n">
        <v>1.301588656279356e-06</v>
      </c>
      <c r="V19" s="5" t="n">
        <v>9.437399999999997e-08</v>
      </c>
      <c r="W19" s="3" t="n">
        <v>0</v>
      </c>
      <c r="X19" s="2" t="n">
        <v>48.23473534400929</v>
      </c>
      <c r="Y19" s="3" t="n">
        <v>25</v>
      </c>
      <c r="Z19" s="3" t="inlineStr">
        <is>
          <t>[0, 1]</t>
        </is>
      </c>
      <c r="AA19" s="2" t="n">
        <v>10000</v>
      </c>
      <c r="AB19" s="3" t="n">
        <v>1</v>
      </c>
      <c r="AC19" s="3" t="n">
        <v>69</v>
      </c>
      <c r="AD19" s="3" t="n">
        <v>60</v>
      </c>
      <c r="AE19" s="3" t="n">
        <v>9</v>
      </c>
      <c r="AF19" s="4" t="n">
        <v>0.1304347826086956</v>
      </c>
      <c r="AG19" s="2" t="n">
        <v>9.550452969581453</v>
      </c>
      <c r="AH19" s="4" t="n">
        <v>0.6821752121129602</v>
      </c>
      <c r="AI19" s="3" t="n">
        <v>42</v>
      </c>
      <c r="AJ19" s="3" t="n">
        <v>25</v>
      </c>
      <c r="AK19" s="3" t="inlineStr">
        <is>
          <t>edfc276beedef3ec5e69d2c98b8755d4f5c7140ddf19f2ec802d784f44ccf5a7</t>
        </is>
      </c>
      <c r="AL19" s="2" t="n">
        <v>0.09224410000024363</v>
      </c>
      <c r="AM19" s="2" t="n">
        <v>1.321887861212269e-08</v>
      </c>
      <c r="AN19" s="2" t="n">
        <v>1.455191522836685e-11</v>
      </c>
      <c r="AO19" s="2" t="n">
        <v>24395.55469700327</v>
      </c>
    </row>
    <row r="20">
      <c r="A20" s="3" t="inlineStr">
        <is>
          <t>power_scan</t>
        </is>
      </c>
      <c r="B20" s="3" t="inlineStr">
        <is>
          <t>first-fit</t>
        </is>
      </c>
      <c r="C20" s="3" t="n">
        <v>10</v>
      </c>
      <c r="D20" s="3" t="n">
        <v>8</v>
      </c>
      <c r="E20" s="3" t="n">
        <v>53</v>
      </c>
      <c r="F20" s="2" t="n">
        <v>317953.5267434217</v>
      </c>
      <c r="G20" s="2" t="n">
        <v>317953.5267434217</v>
      </c>
      <c r="H20" s="2" t="n">
        <v>366575.534905819</v>
      </c>
      <c r="I20" s="2" t="n">
        <v>367245.4780671105</v>
      </c>
      <c r="J20" s="5" t="n">
        <v>2.714498860354679e-15</v>
      </c>
      <c r="K20" s="5" t="n">
        <v>2.441706405953029e-13</v>
      </c>
      <c r="L20" s="5" t="n">
        <v>3.051813225826239e-05</v>
      </c>
      <c r="M20" s="2" t="n">
        <v>9.800000000000001</v>
      </c>
      <c r="N20" s="2" t="n">
        <v>29.4</v>
      </c>
      <c r="O20" s="4" t="n">
        <v>0</v>
      </c>
      <c r="P20" s="2" t="n">
        <v>67538.9846598517</v>
      </c>
      <c r="Q20" s="2" t="n">
        <v>0</v>
      </c>
      <c r="R20" s="5" t="n">
        <v>0.1170435098827219</v>
      </c>
      <c r="S20" s="5" t="n">
        <v>1.73297704240286e-06</v>
      </c>
      <c r="T20" s="5" t="n">
        <v>5.89447973606415e-08</v>
      </c>
      <c r="U20" s="5" t="n">
        <v>1.63860304240286e-06</v>
      </c>
      <c r="V20" s="5" t="n">
        <v>9.437399999999997e-08</v>
      </c>
      <c r="W20" s="3" t="n">
        <v>0</v>
      </c>
      <c r="X20" s="2" t="n">
        <v>48.29554527428528</v>
      </c>
      <c r="Y20" s="3" t="n">
        <v>25</v>
      </c>
      <c r="Z20" s="3" t="inlineStr">
        <is>
          <t>[0, 1]</t>
        </is>
      </c>
      <c r="AA20" s="2" t="n">
        <v>10000</v>
      </c>
      <c r="AB20" s="3" t="n">
        <v>1</v>
      </c>
      <c r="AC20" s="3" t="n">
        <v>69</v>
      </c>
      <c r="AD20" s="3" t="n">
        <v>60</v>
      </c>
      <c r="AE20" s="3" t="n">
        <v>9</v>
      </c>
      <c r="AF20" s="4" t="n">
        <v>0.1304347826086956</v>
      </c>
      <c r="AG20" s="2" t="n">
        <v>9.550452969581453</v>
      </c>
      <c r="AH20" s="4" t="n">
        <v>0.6821752121129602</v>
      </c>
      <c r="AI20" s="3" t="n">
        <v>42</v>
      </c>
      <c r="AJ20" s="3" t="n">
        <v>25</v>
      </c>
      <c r="AK20" s="3" t="inlineStr">
        <is>
          <t>edfc276beedef3ec5e69d2c98b8755d4f5c7140ddf19f2ec802d784f44ccf5a7</t>
        </is>
      </c>
      <c r="AL20" s="2" t="n">
        <v>0.0554682000001776</v>
      </c>
      <c r="AM20" s="2" t="n">
        <v>0</v>
      </c>
      <c r="AN20" s="2" t="n">
        <v>0</v>
      </c>
      <c r="AO20" s="2" t="n">
        <v>0</v>
      </c>
    </row>
    <row r="21">
      <c r="A21" s="3" t="inlineStr">
        <is>
          <t>power_scan</t>
        </is>
      </c>
      <c r="B21" s="3" t="inlineStr">
        <is>
          <t>greedy_min_noise</t>
        </is>
      </c>
      <c r="C21" s="3" t="n">
        <v>10</v>
      </c>
      <c r="D21" s="3" t="n">
        <v>8</v>
      </c>
      <c r="E21" s="3" t="n">
        <v>53</v>
      </c>
      <c r="F21" s="2" t="n">
        <v>362421.9088877089</v>
      </c>
      <c r="G21" s="2" t="n">
        <v>362421.9088877089</v>
      </c>
      <c r="H21" s="2" t="n">
        <v>366931.4480865839</v>
      </c>
      <c r="I21" s="2" t="n">
        <v>367245.4780671105</v>
      </c>
      <c r="J21" s="5" t="n">
        <v>1.271335378356925e-15</v>
      </c>
      <c r="K21" s="5" t="n">
        <v>1.869258135832298e-14</v>
      </c>
      <c r="L21" s="5" t="n">
        <v>2.467793131276592e-06</v>
      </c>
      <c r="M21" s="2" t="n">
        <v>9.800000000000001</v>
      </c>
      <c r="N21" s="2" t="n">
        <v>29.4</v>
      </c>
      <c r="O21" s="4" t="n">
        <v>0</v>
      </c>
      <c r="P21" s="2" t="n">
        <v>67538.9846598517</v>
      </c>
      <c r="Q21" s="2" t="n">
        <v>0</v>
      </c>
      <c r="R21" s="5" t="n">
        <v>0.1170435098827219</v>
      </c>
      <c r="S21" s="5" t="n">
        <v>1.73297704240286e-06</v>
      </c>
      <c r="T21" s="5" t="n">
        <v>5.894479736064148e-08</v>
      </c>
      <c r="U21" s="5" t="n">
        <v>1.63860304240286e-06</v>
      </c>
      <c r="V21" s="5" t="n">
        <v>9.437399999999997e-08</v>
      </c>
      <c r="W21" s="3" t="n">
        <v>0</v>
      </c>
      <c r="X21" s="2" t="n">
        <v>48.29554527428528</v>
      </c>
      <c r="Y21" s="3" t="n">
        <v>25</v>
      </c>
      <c r="Z21" s="3" t="inlineStr">
        <is>
          <t>[0, 1]</t>
        </is>
      </c>
      <c r="AA21" s="2" t="n">
        <v>10000</v>
      </c>
      <c r="AB21" s="3" t="n">
        <v>1</v>
      </c>
      <c r="AC21" s="3" t="n">
        <v>69</v>
      </c>
      <c r="AD21" s="3" t="n">
        <v>60</v>
      </c>
      <c r="AE21" s="3" t="n">
        <v>9</v>
      </c>
      <c r="AF21" s="4" t="n">
        <v>0.1304347826086956</v>
      </c>
      <c r="AG21" s="2" t="n">
        <v>9.550452969581453</v>
      </c>
      <c r="AH21" s="4" t="n">
        <v>0.6821752121129602</v>
      </c>
      <c r="AI21" s="3" t="n">
        <v>42</v>
      </c>
      <c r="AJ21" s="3" t="n">
        <v>25</v>
      </c>
      <c r="AK21" s="3" t="inlineStr">
        <is>
          <t>edfc276beedef3ec5e69d2c98b8755d4f5c7140ddf19f2ec802d784f44ccf5a7</t>
        </is>
      </c>
      <c r="AL21" s="2" t="n">
        <v>0.08814119999988179</v>
      </c>
      <c r="AM21" s="2" t="n">
        <v>0</v>
      </c>
      <c r="AN21" s="2" t="n">
        <v>0</v>
      </c>
      <c r="AO21" s="2" t="n">
        <v>44468.38214428711</v>
      </c>
    </row>
    <row r="22">
      <c r="A22" s="3" t="inlineStr">
        <is>
          <t>power_scan</t>
        </is>
      </c>
      <c r="B22" s="3" t="inlineStr">
        <is>
          <t>first-fit</t>
        </is>
      </c>
      <c r="C22" s="3" t="n">
        <v>10</v>
      </c>
      <c r="D22" s="3" t="n">
        <v>9</v>
      </c>
      <c r="E22" s="3" t="n">
        <v>53</v>
      </c>
      <c r="F22" s="2" t="n">
        <v>279199.0479668012</v>
      </c>
      <c r="G22" s="2" t="n">
        <v>279199.0479668012</v>
      </c>
      <c r="H22" s="2" t="n">
        <v>366402.4265567693</v>
      </c>
      <c r="I22" s="2" t="n">
        <v>367245.4780671105</v>
      </c>
      <c r="J22" s="5" t="n">
        <v>3.417351354033262e-15</v>
      </c>
      <c r="K22" s="5" t="n">
        <v>4.871843826184651e-13</v>
      </c>
      <c r="L22" s="5" t="n">
        <v>6.064459220395763e-05</v>
      </c>
      <c r="M22" s="2" t="n">
        <v>9.800000000000001</v>
      </c>
      <c r="N22" s="2" t="n">
        <v>29.4</v>
      </c>
      <c r="O22" s="4" t="n">
        <v>0</v>
      </c>
      <c r="P22" s="2" t="n">
        <v>68304.01800040947</v>
      </c>
      <c r="Q22" s="2" t="n">
        <v>0</v>
      </c>
      <c r="R22" s="5" t="n">
        <v>0.1473490384616568</v>
      </c>
      <c r="S22" s="5" t="n">
        <v>2.157252864110769e-06</v>
      </c>
      <c r="T22" s="5" t="n">
        <v>7.337594775886968e-08</v>
      </c>
      <c r="U22" s="5" t="n">
        <v>2.062878864110769e-06</v>
      </c>
      <c r="V22" s="5" t="n">
        <v>9.437399999999997e-08</v>
      </c>
      <c r="W22" s="3" t="n">
        <v>0</v>
      </c>
      <c r="X22" s="2" t="n">
        <v>48.34446251911111</v>
      </c>
      <c r="Y22" s="3" t="n">
        <v>25</v>
      </c>
      <c r="Z22" s="3" t="inlineStr">
        <is>
          <t>[0, 1]</t>
        </is>
      </c>
      <c r="AA22" s="2" t="n">
        <v>10000</v>
      </c>
      <c r="AB22" s="3" t="n">
        <v>1</v>
      </c>
      <c r="AC22" s="3" t="n">
        <v>69</v>
      </c>
      <c r="AD22" s="3" t="n">
        <v>60</v>
      </c>
      <c r="AE22" s="3" t="n">
        <v>9</v>
      </c>
      <c r="AF22" s="4" t="n">
        <v>0.1304347826086956</v>
      </c>
      <c r="AG22" s="2" t="n">
        <v>9.550452969581453</v>
      </c>
      <c r="AH22" s="4" t="n">
        <v>0.6821752121129602</v>
      </c>
      <c r="AI22" s="3" t="n">
        <v>42</v>
      </c>
      <c r="AJ22" s="3" t="n">
        <v>25</v>
      </c>
      <c r="AK22" s="3" t="inlineStr">
        <is>
          <t>edfc276beedef3ec5e69d2c98b8755d4f5c7140ddf19f2ec802d784f44ccf5a7</t>
        </is>
      </c>
      <c r="AL22" s="2" t="n">
        <v>0.05431900000075984</v>
      </c>
      <c r="AM22" s="2" t="n">
        <v>0</v>
      </c>
      <c r="AN22" s="2" t="n">
        <v>0</v>
      </c>
      <c r="AO22" s="2" t="n">
        <v>0</v>
      </c>
    </row>
    <row r="23">
      <c r="A23" s="3" t="inlineStr">
        <is>
          <t>power_scan</t>
        </is>
      </c>
      <c r="B23" s="3" t="inlineStr">
        <is>
          <t>greedy_min_noise</t>
        </is>
      </c>
      <c r="C23" s="3" t="n">
        <v>10</v>
      </c>
      <c r="D23" s="3" t="n">
        <v>9</v>
      </c>
      <c r="E23" s="3" t="n">
        <v>53</v>
      </c>
      <c r="F23" s="2" t="n">
        <v>358033.6177205674</v>
      </c>
      <c r="G23" s="2" t="n">
        <v>358033.6177205674</v>
      </c>
      <c r="H23" s="2" t="n">
        <v>366850.2203663739</v>
      </c>
      <c r="I23" s="2" t="n">
        <v>367245.4780671105</v>
      </c>
      <c r="J23" s="5" t="n">
        <v>1.600516301594896e-15</v>
      </c>
      <c r="K23" s="5" t="n">
        <v>3.729659434084468e-14</v>
      </c>
      <c r="L23" s="5" t="n">
        <v>4.808175857273267e-06</v>
      </c>
      <c r="M23" s="2" t="n">
        <v>9.800000000000001</v>
      </c>
      <c r="N23" s="2" t="n">
        <v>29.4</v>
      </c>
      <c r="O23" s="4" t="n">
        <v>0</v>
      </c>
      <c r="P23" s="2" t="n">
        <v>68304.01800040947</v>
      </c>
      <c r="Q23" s="2" t="n">
        <v>0</v>
      </c>
      <c r="R23" s="5" t="n">
        <v>0.1473490384616568</v>
      </c>
      <c r="S23" s="5" t="n">
        <v>2.157252864110769e-06</v>
      </c>
      <c r="T23" s="5" t="n">
        <v>7.337594775886968e-08</v>
      </c>
      <c r="U23" s="5" t="n">
        <v>2.062878864110769e-06</v>
      </c>
      <c r="V23" s="5" t="n">
        <v>9.437399999999997e-08</v>
      </c>
      <c r="W23" s="3" t="n">
        <v>0</v>
      </c>
      <c r="X23" s="2" t="n">
        <v>48.34446251911111</v>
      </c>
      <c r="Y23" s="3" t="n">
        <v>25</v>
      </c>
      <c r="Z23" s="3" t="inlineStr">
        <is>
          <t>[0, 1]</t>
        </is>
      </c>
      <c r="AA23" s="2" t="n">
        <v>10000</v>
      </c>
      <c r="AB23" s="3" t="n">
        <v>1</v>
      </c>
      <c r="AC23" s="3" t="n">
        <v>69</v>
      </c>
      <c r="AD23" s="3" t="n">
        <v>60</v>
      </c>
      <c r="AE23" s="3" t="n">
        <v>9</v>
      </c>
      <c r="AF23" s="4" t="n">
        <v>0.1304347826086956</v>
      </c>
      <c r="AG23" s="2" t="n">
        <v>9.550452969581453</v>
      </c>
      <c r="AH23" s="4" t="n">
        <v>0.6821752121129602</v>
      </c>
      <c r="AI23" s="3" t="n">
        <v>42</v>
      </c>
      <c r="AJ23" s="3" t="n">
        <v>25</v>
      </c>
      <c r="AK23" s="3" t="inlineStr">
        <is>
          <t>edfc276beedef3ec5e69d2c98b8755d4f5c7140ddf19f2ec802d784f44ccf5a7</t>
        </is>
      </c>
      <c r="AL23" s="2" t="n">
        <v>0.08842019999974582</v>
      </c>
      <c r="AM23" s="2" t="n">
        <v>0</v>
      </c>
      <c r="AN23" s="2" t="n">
        <v>0</v>
      </c>
      <c r="AO23" s="2" t="n">
        <v>78834.56975376623</v>
      </c>
    </row>
    <row r="24">
      <c r="A24" s="3" t="inlineStr">
        <is>
          <t>power_scan</t>
        </is>
      </c>
      <c r="B24" s="3" t="inlineStr">
        <is>
          <t>first-fit</t>
        </is>
      </c>
      <c r="C24" s="3" t="n">
        <v>10</v>
      </c>
      <c r="D24" s="3" t="n">
        <v>10</v>
      </c>
      <c r="E24" s="3" t="n">
        <v>53</v>
      </c>
      <c r="F24" s="2" t="n">
        <v>213602.3754508774</v>
      </c>
      <c r="G24" s="2" t="n">
        <v>213602.3754508774</v>
      </c>
      <c r="H24" s="2" t="n">
        <v>366184.7028695612</v>
      </c>
      <c r="I24" s="2" t="n">
        <v>367245.4780671105</v>
      </c>
      <c r="J24" s="5" t="n">
        <v>4.30219060460084e-15</v>
      </c>
      <c r="K24" s="5" t="n">
        <v>9.720607076323271e-13</v>
      </c>
      <c r="L24" s="5" t="n">
        <v>0.0001206908286426315</v>
      </c>
      <c r="M24" s="2" t="n">
        <v>9.800000000000001</v>
      </c>
      <c r="N24" s="2" t="n">
        <v>29.4</v>
      </c>
      <c r="O24" s="4" t="n">
        <v>0.28</v>
      </c>
      <c r="P24" s="2" t="n">
        <v>68924.16918860913</v>
      </c>
      <c r="Q24" s="2" t="n">
        <v>0</v>
      </c>
      <c r="R24" s="5" t="n">
        <v>0.185501455130896</v>
      </c>
      <c r="S24" s="5" t="n">
        <v>2.691384710394932e-06</v>
      </c>
      <c r="T24" s="5" t="n">
        <v>9.154369763248063e-08</v>
      </c>
      <c r="U24" s="5" t="n">
        <v>2.597010710394931e-06</v>
      </c>
      <c r="V24" s="5" t="n">
        <v>9.437399999999997e-08</v>
      </c>
      <c r="W24" s="3" t="n">
        <v>0</v>
      </c>
      <c r="X24" s="2" t="n">
        <v>48.38371539827109</v>
      </c>
      <c r="Y24" s="3" t="n">
        <v>25</v>
      </c>
      <c r="Z24" s="3" t="inlineStr">
        <is>
          <t>[0, 1]</t>
        </is>
      </c>
      <c r="AA24" s="2" t="n">
        <v>10000</v>
      </c>
      <c r="AB24" s="3" t="n">
        <v>1</v>
      </c>
      <c r="AC24" s="3" t="n">
        <v>69</v>
      </c>
      <c r="AD24" s="3" t="n">
        <v>60</v>
      </c>
      <c r="AE24" s="3" t="n">
        <v>9</v>
      </c>
      <c r="AF24" s="4" t="n">
        <v>0.1304347826086956</v>
      </c>
      <c r="AG24" s="2" t="n">
        <v>9.550452969581453</v>
      </c>
      <c r="AH24" s="4" t="n">
        <v>0.6821752121129602</v>
      </c>
      <c r="AI24" s="3" t="n">
        <v>42</v>
      </c>
      <c r="AJ24" s="3" t="n">
        <v>25</v>
      </c>
      <c r="AK24" s="3" t="inlineStr">
        <is>
          <t>edfc276beedef3ec5e69d2c98b8755d4f5c7140ddf19f2ec802d784f44ccf5a7</t>
        </is>
      </c>
      <c r="AL24" s="2" t="n">
        <v>0.05416780000086874</v>
      </c>
      <c r="AM24" s="2" t="n">
        <v>0</v>
      </c>
      <c r="AN24" s="2" t="n">
        <v>0</v>
      </c>
      <c r="AO24" s="2" t="n">
        <v>0</v>
      </c>
    </row>
    <row r="25">
      <c r="A25" s="3" t="inlineStr">
        <is>
          <t>power_scan</t>
        </is>
      </c>
      <c r="B25" s="3" t="inlineStr">
        <is>
          <t>greedy_min_noise</t>
        </is>
      </c>
      <c r="C25" s="3" t="n">
        <v>10</v>
      </c>
      <c r="D25" s="3" t="n">
        <v>10</v>
      </c>
      <c r="E25" s="3" t="n">
        <v>53</v>
      </c>
      <c r="F25" s="2" t="n">
        <v>349755.1011854034</v>
      </c>
      <c r="G25" s="2" t="n">
        <v>349755.1011854034</v>
      </c>
      <c r="H25" s="2" t="n">
        <v>366747.6257327668</v>
      </c>
      <c r="I25" s="2" t="n">
        <v>367245.4780671105</v>
      </c>
      <c r="J25" s="5" t="n">
        <v>2.016495100339007e-15</v>
      </c>
      <c r="K25" s="5" t="n">
        <v>7.440008946577187e-14</v>
      </c>
      <c r="L25" s="5" t="n">
        <v>9.446058355942986e-06</v>
      </c>
      <c r="M25" s="2" t="n">
        <v>9.800000000000001</v>
      </c>
      <c r="N25" s="2" t="n">
        <v>29.4</v>
      </c>
      <c r="O25" s="4" t="n">
        <v>0</v>
      </c>
      <c r="P25" s="2" t="n">
        <v>68924.16918860913</v>
      </c>
      <c r="Q25" s="2" t="n">
        <v>0</v>
      </c>
      <c r="R25" s="5" t="n">
        <v>0.185501455130896</v>
      </c>
      <c r="S25" s="5" t="n">
        <v>2.691384710394931e-06</v>
      </c>
      <c r="T25" s="5" t="n">
        <v>9.154369763248063e-08</v>
      </c>
      <c r="U25" s="5" t="n">
        <v>2.597010710394931e-06</v>
      </c>
      <c r="V25" s="5" t="n">
        <v>9.437399999999997e-08</v>
      </c>
      <c r="W25" s="3" t="n">
        <v>0</v>
      </c>
      <c r="X25" s="2" t="n">
        <v>48.38371539827109</v>
      </c>
      <c r="Y25" s="3" t="n">
        <v>25</v>
      </c>
      <c r="Z25" s="3" t="inlineStr">
        <is>
          <t>[0, 1]</t>
        </is>
      </c>
      <c r="AA25" s="2" t="n">
        <v>10000</v>
      </c>
      <c r="AB25" s="3" t="n">
        <v>1</v>
      </c>
      <c r="AC25" s="3" t="n">
        <v>69</v>
      </c>
      <c r="AD25" s="3" t="n">
        <v>60</v>
      </c>
      <c r="AE25" s="3" t="n">
        <v>9</v>
      </c>
      <c r="AF25" s="4" t="n">
        <v>0.1304347826086956</v>
      </c>
      <c r="AG25" s="2" t="n">
        <v>9.550452969581453</v>
      </c>
      <c r="AH25" s="4" t="n">
        <v>0.6821752121129602</v>
      </c>
      <c r="AI25" s="3" t="n">
        <v>42</v>
      </c>
      <c r="AJ25" s="3" t="n">
        <v>25</v>
      </c>
      <c r="AK25" s="3" t="inlineStr">
        <is>
          <t>edfc276beedef3ec5e69d2c98b8755d4f5c7140ddf19f2ec802d784f44ccf5a7</t>
        </is>
      </c>
      <c r="AL25" s="2" t="n">
        <v>0.08841989999928046</v>
      </c>
      <c r="AM25" s="2" t="n">
        <v>0</v>
      </c>
      <c r="AN25" s="2" t="n">
        <v>0</v>
      </c>
      <c r="AO25" s="2" t="n">
        <v>136152.7257345261</v>
      </c>
    </row>
    <row r="26">
      <c r="A26" s="3" t="inlineStr">
        <is>
          <t>power_scan</t>
        </is>
      </c>
      <c r="B26" s="3" t="inlineStr">
        <is>
          <t>first-fit</t>
        </is>
      </c>
      <c r="C26" s="3" t="n">
        <v>10</v>
      </c>
      <c r="D26" s="2" t="n">
        <v>10.5</v>
      </c>
      <c r="E26" s="3" t="n">
        <v>53</v>
      </c>
      <c r="F26" s="2" t="n">
        <v>165675.0066540249</v>
      </c>
      <c r="G26" s="2" t="n">
        <v>165675.0066540249</v>
      </c>
      <c r="H26" s="2" t="n">
        <v>366055.6429556532</v>
      </c>
      <c r="I26" s="2" t="n">
        <v>367245.4780671105</v>
      </c>
      <c r="J26" s="5" t="n">
        <v>4.827137193165768e-15</v>
      </c>
      <c r="K26" s="5" t="n">
        <v>1.373072241335103e-12</v>
      </c>
      <c r="L26" s="5" t="n">
        <v>0.0001703258266788306</v>
      </c>
      <c r="M26" s="2" t="n">
        <v>9.800000000000001</v>
      </c>
      <c r="N26" s="2" t="n">
        <v>29.4</v>
      </c>
      <c r="O26" s="4" t="n">
        <v>0.28</v>
      </c>
      <c r="P26" s="2" t="n">
        <v>69188.00446460805</v>
      </c>
      <c r="Q26" s="2" t="n">
        <v>0</v>
      </c>
      <c r="R26" s="5" t="n">
        <v>0.2081360534075637</v>
      </c>
      <c r="S26" s="5" t="n">
        <v>3.00826790739473e-06</v>
      </c>
      <c r="T26" s="5" t="n">
        <v>1.023220376664874e-07</v>
      </c>
      <c r="U26" s="5" t="n">
        <v>2.91389390739473e-06</v>
      </c>
      <c r="V26" s="5" t="n">
        <v>9.437399999999997e-08</v>
      </c>
      <c r="W26" s="3" t="n">
        <v>0</v>
      </c>
      <c r="X26" s="2" t="n">
        <v>48.40030804768733</v>
      </c>
      <c r="Y26" s="3" t="n">
        <v>25</v>
      </c>
      <c r="Z26" s="3" t="inlineStr">
        <is>
          <t>[0, 1]</t>
        </is>
      </c>
      <c r="AA26" s="2" t="n">
        <v>10000</v>
      </c>
      <c r="AB26" s="3" t="n">
        <v>1</v>
      </c>
      <c r="AC26" s="3" t="n">
        <v>69</v>
      </c>
      <c r="AD26" s="3" t="n">
        <v>60</v>
      </c>
      <c r="AE26" s="3" t="n">
        <v>9</v>
      </c>
      <c r="AF26" s="4" t="n">
        <v>0.1304347826086956</v>
      </c>
      <c r="AG26" s="2" t="n">
        <v>9.550452969581453</v>
      </c>
      <c r="AH26" s="4" t="n">
        <v>0.6821752121129602</v>
      </c>
      <c r="AI26" s="3" t="n">
        <v>42</v>
      </c>
      <c r="AJ26" s="3" t="n">
        <v>25</v>
      </c>
      <c r="AK26" s="3" t="inlineStr">
        <is>
          <t>edfc276beedef3ec5e69d2c98b8755d4f5c7140ddf19f2ec802d784f44ccf5a7</t>
        </is>
      </c>
      <c r="AL26" s="2" t="n">
        <v>0.05404940000153147</v>
      </c>
      <c r="AM26" s="2" t="n">
        <v>0</v>
      </c>
      <c r="AN26" s="2" t="n">
        <v>0</v>
      </c>
      <c r="AO26" s="2" t="n">
        <v>0</v>
      </c>
    </row>
    <row r="27">
      <c r="A27" s="3" t="inlineStr">
        <is>
          <t>power_scan</t>
        </is>
      </c>
      <c r="B27" s="3" t="inlineStr">
        <is>
          <t>greedy_min_noise</t>
        </is>
      </c>
      <c r="C27" s="3" t="n">
        <v>10</v>
      </c>
      <c r="D27" s="2" t="n">
        <v>10.5</v>
      </c>
      <c r="E27" s="3" t="n">
        <v>53</v>
      </c>
      <c r="F27" s="2" t="n">
        <v>343250.2295979065</v>
      </c>
      <c r="G27" s="2" t="n">
        <v>343250.2295979065</v>
      </c>
      <c r="H27" s="2" t="n">
        <v>366675.74889136</v>
      </c>
      <c r="I27" s="2" t="n">
        <v>367245.4780671105</v>
      </c>
      <c r="J27" s="5" t="n">
        <v>2.308005188119066e-15</v>
      </c>
      <c r="K27" s="5" t="n">
        <v>1.050875135949554e-13</v>
      </c>
      <c r="L27" s="5" t="n">
        <v>1.327544725208232e-05</v>
      </c>
      <c r="M27" s="2" t="n">
        <v>9.800000000000001</v>
      </c>
      <c r="N27" s="2" t="n">
        <v>29.4</v>
      </c>
      <c r="O27" s="4" t="n">
        <v>0</v>
      </c>
      <c r="P27" s="2" t="n">
        <v>69188.00446460805</v>
      </c>
      <c r="Q27" s="2" t="n">
        <v>0</v>
      </c>
      <c r="R27" s="5" t="n">
        <v>0.2081360534075637</v>
      </c>
      <c r="S27" s="5" t="n">
        <v>3.00826790739473e-06</v>
      </c>
      <c r="T27" s="5" t="n">
        <v>1.023220376664874e-07</v>
      </c>
      <c r="U27" s="5" t="n">
        <v>2.91389390739473e-06</v>
      </c>
      <c r="V27" s="5" t="n">
        <v>9.437399999999997e-08</v>
      </c>
      <c r="W27" s="3" t="n">
        <v>0</v>
      </c>
      <c r="X27" s="2" t="n">
        <v>48.40030804768733</v>
      </c>
      <c r="Y27" s="3" t="n">
        <v>25</v>
      </c>
      <c r="Z27" s="3" t="inlineStr">
        <is>
          <t>[0, 1]</t>
        </is>
      </c>
      <c r="AA27" s="2" t="n">
        <v>10000</v>
      </c>
      <c r="AB27" s="3" t="n">
        <v>1</v>
      </c>
      <c r="AC27" s="3" t="n">
        <v>69</v>
      </c>
      <c r="AD27" s="3" t="n">
        <v>60</v>
      </c>
      <c r="AE27" s="3" t="n">
        <v>9</v>
      </c>
      <c r="AF27" s="4" t="n">
        <v>0.1304347826086956</v>
      </c>
      <c r="AG27" s="2" t="n">
        <v>9.550452969581453</v>
      </c>
      <c r="AH27" s="4" t="n">
        <v>0.6821752121129602</v>
      </c>
      <c r="AI27" s="3" t="n">
        <v>42</v>
      </c>
      <c r="AJ27" s="3" t="n">
        <v>25</v>
      </c>
      <c r="AK27" s="3" t="inlineStr">
        <is>
          <t>edfc276beedef3ec5e69d2c98b8755d4f5c7140ddf19f2ec802d784f44ccf5a7</t>
        </is>
      </c>
      <c r="AL27" s="2" t="n">
        <v>0.09023549999983516</v>
      </c>
      <c r="AM27" s="2" t="n">
        <v>0</v>
      </c>
      <c r="AN27" s="2" t="n">
        <v>0</v>
      </c>
      <c r="AO27" s="2" t="n">
        <v>177575.2229438817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5" customWidth="1" min="2" max="2"/>
  </cols>
  <sheetData>
    <row r="1" ht="42" customHeight="1">
      <c r="A1" s="1" t="inlineStr">
        <is>
          <t>parameter</t>
        </is>
      </c>
      <c r="B1" s="1" t="inlineStr">
        <is>
          <t>value</t>
        </is>
      </c>
    </row>
    <row r="2" ht="22" customHeight="1">
      <c r="A2" s="6" t="inlineStr">
        <is>
          <t>loads_erlang</t>
        </is>
      </c>
      <c r="B2" s="6" t="inlineStr">
        <is>
          <t>[5.0, 10.0, 15.0, 20.0, 25.0, 30.0, 35.0, 40.0]</t>
        </is>
      </c>
    </row>
    <row r="3" ht="22" customHeight="1">
      <c r="A3" s="6" t="inlineStr">
        <is>
          <t>powers_dbm</t>
        </is>
      </c>
      <c r="B3" s="6" t="inlineStr">
        <is>
          <t>[7, 8, 9, 10, 10.5]</t>
        </is>
      </c>
    </row>
    <row r="4" ht="22" customHeight="1">
      <c r="A4" s="6" t="inlineStr">
        <is>
          <t>fixed_load_erlang</t>
        </is>
      </c>
      <c r="B4" s="6" t="n">
        <v>10</v>
      </c>
    </row>
    <row r="5" ht="22" customHeight="1">
      <c r="A5" s="6" t="inlineStr">
        <is>
          <t>fixed_power_dbm</t>
        </is>
      </c>
      <c r="B5" s="7" t="n">
        <v>10.5</v>
      </c>
    </row>
    <row r="6" ht="22" customHeight="1">
      <c r="A6" s="6" t="inlineStr">
        <is>
          <t>seeds</t>
        </is>
      </c>
      <c r="B6" s="6" t="inlineStr">
        <is>
          <t>[53]</t>
        </is>
      </c>
    </row>
    <row r="7" ht="22" customHeight="1">
      <c r="A7" s="6" t="inlineStr">
        <is>
          <t>slots</t>
        </is>
      </c>
      <c r="B7" s="6" t="n">
        <v>30</v>
      </c>
    </row>
    <row r="8" ht="22" customHeight="1">
      <c r="A8" s="6" t="inlineStr">
        <is>
          <t>warmup</t>
        </is>
      </c>
      <c r="B8" s="6" t="n">
        <v>5</v>
      </c>
    </row>
    <row r="9" ht="22" customHeight="1">
      <c r="A9" s="6" t="inlineStr">
        <is>
          <t>holding_time</t>
        </is>
      </c>
      <c r="B9" s="6" t="n">
        <v>4</v>
      </c>
    </row>
    <row r="10" ht="22" customHeight="1">
      <c r="A10" s="6" t="inlineStr">
        <is>
          <t>topology</t>
        </is>
      </c>
      <c r="B10" s="6" t="inlineStr">
        <is>
          <t>topology7</t>
        </is>
      </c>
    </row>
    <row r="11" ht="22" customHeight="1">
      <c r="A11" s="6" t="inlineStr">
        <is>
          <t>length_km</t>
        </is>
      </c>
      <c r="B11" s="6" t="n"/>
    </row>
    <row r="12" ht="22" customHeight="1">
      <c r="A12" s="6" t="inlineStr">
        <is>
          <t>algorithms</t>
        </is>
      </c>
      <c r="B12" s="6" t="inlineStr">
        <is>
          <t>["FF", "GREEDY_MIN_NOISE"]</t>
        </is>
      </c>
    </row>
    <row r="13" ht="22" customHeight="1">
      <c r="A13" s="6" t="inlineStr">
        <is>
          <t>skr_units</t>
        </is>
      </c>
      <c r="B13" s="6" t="inlineStr">
        <is>
          <t>Sweep sheets/figures: kbit/s; Runs and trace JSON: bit/s. Not accumulated secret bits.</t>
        </is>
      </c>
    </row>
    <row r="14" ht="22" customHeight="1">
      <c r="A14" s="6" t="inlineStr">
        <is>
          <t>uncertainty</t>
        </is>
      </c>
      <c r="B14" s="6" t="inlineStr">
        <is>
          <t>Equal-weight seed means; sample SD across seeds, blank for one seed; not a confidence interval</t>
        </is>
      </c>
    </row>
    <row r="15" ht="22" customHeight="1">
      <c r="A15" s="6" t="inlineStr">
        <is>
          <t>gain_definition</t>
        </is>
      </c>
      <c r="B15" s="6" t="inlineStr">
        <is>
          <t>Ratio of seed mean SKR minus one; blank if baseline absent or zero</t>
        </is>
      </c>
    </row>
    <row r="16" ht="22" customHeight="1">
      <c r="A16" s="6" t="inlineStr">
        <is>
          <t>blank_definition</t>
        </is>
      </c>
      <c r="B16" s="6" t="inlineStr">
        <is>
          <t>Unavailable or undefined, not zero</t>
        </is>
      </c>
    </row>
    <row r="17" ht="22" customHeight="1">
      <c r="A17" s="6" t="inlineStr">
        <is>
          <t>timing</t>
        </is>
      </c>
      <c r="B17" s="6" t="inlineStr">
        <is>
          <t>Full warmup and resource transitions retained; experiment duration maps linearly to simulation time</t>
        </is>
      </c>
    </row>
    <row r="18" ht="22" customHeight="1">
      <c r="A18" s="6" t="inlineStr">
        <is>
          <t>power_reference</t>
        </is>
      </c>
      <c r="B18" s="6" t="inlineStr">
        <is>
          <t>Per core per classical channel at fiber input, dBm</t>
        </is>
      </c>
    </row>
    <row r="19" ht="150" customHeight="1">
      <c r="A19" s="6" t="inlineStr">
        <is>
          <t>source_sha256</t>
        </is>
      </c>
      <c r="B19" s="6" t="inlineStr">
        <is>
          <t>{"main.py": "1526af1ba49d1ac9ea3843b0b327df839750b7385486db057dd64858de6ef6b2", "traffic_scan.py": "14557871743d2ba5cb129130d8b671c0ee6dcfb0d68fbd99c3eec0edfe322d80", "traffic_export.py": "3fd4bc2bb37241222113c2524329f193b70fd043d6aa4636cae3eb4d8703378f", "algorithm.py": "a5d1eeb5d2e6ba09de46ca365ee45c68a0bd367fb75576a394ec7b27dd40a3f1", "noise_calculation.py": "3efd1f9271bd51dbe589289a40df27f353413f51d307f8622f4f886ecc146941", "skr_calculation.py": "a84fe53d6570678c33ed898e80c788d5788af92602b97a8649d1b251a44136cd", "core_layout.py": "011ad15273955adc6d463397b16559b5b241a8ff5be5784c2ae68a372452fbdd", "topology.py": "d3ba11d205fd411e967f57689af5f4d0dfa1db0ac5e28a9d7d171fba47d94063", "synergistic_calculation.py": "67174e2d0f48fcd563dd0f494be62d8644d3a75d2155c3786aadf5ab115b0311", "topology7.json": "c20e6f4dff9c541a60d82832ae83a3f84e88e6c371dcbc31436d4dde0286a64d", "Ramancrosssection25GHz（25GHz间隔）.xls": "92eac325243a838994790720e1018fcf6119e15275e746e994c9ce51fc609f79"}</t>
        </is>
      </c>
    </row>
    <row r="20" ht="22" customHeight="1">
      <c r="A20" s="6" t="inlineStr">
        <is>
          <t>allocation_mode</t>
        </is>
      </c>
      <c r="B20" s="6" t="inlineStr">
        <is>
          <t>three_core_bound</t>
        </is>
      </c>
    </row>
    <row r="21" ht="22" customHeight="1">
      <c r="A21" s="6" t="inlineStr">
        <is>
          <t>traffic_unit</t>
        </is>
      </c>
      <c r="B21" s="6" t="inlineStr">
        <is>
          <t>three_core_business_group</t>
        </is>
      </c>
    </row>
    <row r="22" ht="30" customHeight="1">
      <c r="A22" s="6" t="inlineStr">
        <is>
          <t>greedy_objective</t>
        </is>
      </c>
      <c r="B22" s="6" t="inlineStr">
        <is>
          <t>Minimum incremental Raman + FWM optical power at quantum receivers (W); no safety tiers or parity/separation priority</t>
        </is>
      </c>
    </row>
    <row r="23" ht="22" customHeight="1">
      <c r="A23" s="6" t="inlineStr">
        <is>
          <t>greedy_frequency_preference</t>
        </is>
      </c>
      <c r="B23" s="6" t="inlineStr">
        <is>
          <t>Disabled: all three cores must use the same frequency</t>
        </is>
      </c>
    </row>
    <row r="24" ht="22" customHeight="1">
      <c r="A24" s="6" t="inlineStr">
        <is>
          <t>greedy_noise_rtol</t>
        </is>
      </c>
      <c r="B24" s="6" t="n"/>
    </row>
    <row r="25" ht="22" customHeight="1">
      <c r="A25" s="6" t="inlineStr">
        <is>
          <t>load_definition</t>
        </is>
      </c>
      <c r="B25" s="6" t="inlineStr">
        <is>
          <t>Erlang of three-core business groups; A = group arrival rate * mean holding time</t>
        </is>
      </c>
    </row>
    <row r="26" ht="30" customHeight="1">
      <c r="A26" s="6" t="inlineStr">
        <is>
          <t>default_load_scaling</t>
        </is>
      </c>
      <c r="B26" s="6" t="inlineStr">
        <is>
          <t>Default 10 Erlang three-core groups corresponds to 30 Erlang offered core-channel demand; explicit group loads are not divided by three or reduced to meet a blocking target</t>
        </is>
      </c>
    </row>
    <row r="27" ht="22" customHeight="1">
      <c r="A27" s="6" t="inlineStr">
        <is>
          <t>carried_load_definition</t>
        </is>
      </c>
      <c r="B27" s="6" t="inlineStr">
        <is>
          <t>Integral of active accepted groups / observation duration</t>
        </is>
      </c>
    </row>
    <row r="28" ht="30" customHeight="1">
      <c r="A28" s="6" t="inlineStr">
        <is>
          <t>resource_definition</t>
        </is>
      </c>
      <c r="B28" s="6" t="inlineStr">
        <is>
          <t>capacity/utilization are network-wide; occupied_channels counts only the selected link; all count physical core-channel cells</t>
        </is>
      </c>
    </row>
    <row r="29" ht="22" customHeight="1">
      <c r="A29" s="6" t="inlineStr">
        <is>
          <t>blocking_rate_limit</t>
        </is>
      </c>
      <c r="B29" s="7" t="n">
        <v>0.05</v>
      </c>
    </row>
    <row r="30" ht="22" customHeight="1">
      <c r="A30" s="6" t="inlineStr">
        <is>
          <t>blocking_definition</t>
        </is>
      </c>
      <c r="B30" s="6" t="inlineStr">
        <is>
          <t>Blocked three-core group arrivals / offered group arrivals in [warmup, slots); not packet loss or BER</t>
        </is>
      </c>
    </row>
    <row r="31" ht="22" customHeight="1">
      <c r="A31" s="6" t="inlineStr">
        <is>
          <t>blocking_limit_definition</t>
        </is>
      </c>
      <c r="B31" s="6" t="inlineStr">
        <is>
          <t>User-selected experiment target, strictly below 5%; not an enforced admission rule or universal standard</t>
        </is>
      </c>
    </row>
    <row r="32" ht="30" customHeight="1">
      <c r="A32" s="6" t="inlineStr">
        <is>
          <t>metric_reference</t>
        </is>
      </c>
      <c r="B32" s="6" t="inlineStr">
        <is>
          <t>KeyConsumption_24node -7 core: Consumption_Dynamic.py, synergistic_calculation.py, SKR_calculate.py, BB84_SKR.py, XT.py</t>
        </is>
      </c>
    </row>
    <row r="33" ht="22" customHeight="1">
      <c r="A33" s="6" t="inlineStr">
        <is>
          <t>metric_scope</t>
        </is>
      </c>
      <c r="B33" s="6" t="inlineStr">
        <is>
          <t>One selected undirected link; classical traffic routed and allocated across the full network</t>
        </is>
      </c>
    </row>
    <row r="34" ht="30" customHeight="1">
      <c r="A34" s="6" t="inlineStr">
        <is>
          <t>skr_definition</t>
        </is>
      </c>
      <c r="B34" s="6" t="inlineStr">
        <is>
          <t>Time mean of raw BB84 SKR per reserved quantum channel on the selected link; no clipping; quantum direction smaller to larger node</t>
        </is>
      </c>
    </row>
    <row r="35" ht="30" customHeight="1">
      <c r="A35" s="6" t="inlineStr">
        <is>
          <t>osnr_definition</t>
        </is>
      </c>
      <c r="B35" s="6" t="inlineStr">
        <is>
          <t>Single-link adaptation of reference business entry: mean received signal / (mean XT + 3.21e-9 W), one hop; linear time mean over nonempty slot ends, then dB</t>
        </is>
      </c>
    </row>
    <row r="36" ht="22" customHeight="1">
      <c r="A36" s="6" t="inlineStr">
        <is>
          <t>osnr_db_definition</t>
        </is>
      </c>
      <c r="B36" s="6" t="inlineStr">
        <is>
          <t>10*log10 of seed mean linear OSNR; across seeds report mean and sample SD of seed dB values</t>
        </is>
      </c>
    </row>
    <row r="37" ht="30" customHeight="1">
      <c r="A37" s="6" t="inlineStr">
        <is>
          <t>classical_noise_model</t>
        </is>
      </c>
      <c r="B37" s="6" t="inlineStr">
        <is>
          <t>Reference XT only: nearest 1e-6 and second-nearest 1e-7 km^-1; retain reference victim-power gating for backward XT; fixed floor 3.21e-9 W per occupied channel</t>
        </is>
      </c>
    </row>
    <row r="38" ht="22" customHeight="1">
      <c r="A38" s="6" t="inlineStr">
        <is>
          <t>classical_noise_floor_w</t>
        </is>
      </c>
      <c r="B38" s="7" t="n">
        <v>3.21e-09</v>
      </c>
    </row>
    <row r="39" ht="22" customHeight="1">
      <c r="A39" s="6" t="inlineStr">
        <is>
          <t>osnr_model_version</t>
        </is>
      </c>
      <c r="B39" s="6" t="inlineStr">
        <is>
          <t>reference_business_single_link_v1</t>
        </is>
      </c>
    </row>
    <row r="40" ht="30" customHeight="1">
      <c r="A40" s="6" t="inlineStr">
        <is>
          <t>osnr_idle_definition</t>
        </is>
      </c>
      <c r="B40" s="6" t="inlineStr">
        <is>
          <t>Empty slots excluded; all-idle window is null; occupied zero-XT slots remain finite due to reference floor</t>
        </is>
      </c>
    </row>
    <row r="41" ht="22" customHeight="1">
      <c r="A41" s="6" t="inlineStr">
        <is>
          <t>synergy_definition</t>
        </is>
      </c>
      <c r="B41" s="6" t="inlineStr">
        <is>
          <t>sqrt(abs(Uc_A-Uc_FF)*abs(Uq_A-Uq_FF)); Uc=(OSNR-C_alpha)/(C_beta-C_alpha); Uq=(SKR-40000)/(71000-40000)</t>
        </is>
      </c>
    </row>
    <row r="42" ht="30" customHeight="1">
      <c r="A42" s="6" t="inlineStr">
        <is>
          <t>synergy_reference</t>
        </is>
      </c>
      <c r="B42" s="6" t="inlineStr">
        <is>
          <t>C_alpha=receive_power(1e-3,L)/(leap*(6*forward_P_XT(1e-6,L,1e-3)+3.21e-9)); C_beta=receive_power(1e-3,L)/(leap*3.21e-9); leap=3 at L=40000 m, otherwise 4</t>
        </is>
      </c>
    </row>
    <row r="43" ht="22" customHeight="1">
      <c r="A43" s="6" t="inlineStr">
        <is>
          <t>synergy_version</t>
        </is>
      </c>
      <c r="B43" s="6" t="inlineStr">
        <is>
          <t>reference_unsigned_v1</t>
        </is>
      </c>
    </row>
    <row r="44" ht="22" customHeight="1">
      <c r="A44" s="6" t="inlineStr">
        <is>
          <t>synergy_baseline</t>
        </is>
      </c>
      <c r="B44" s="6" t="inlineStr">
        <is>
          <t>FF</t>
        </is>
      </c>
    </row>
    <row r="45" ht="30" customHeight="1">
      <c r="A45" s="6" t="inlineStr">
        <is>
          <t>synergy_interpretation</t>
        </is>
      </c>
      <c r="B45" s="6" t="inlineStr">
        <is>
          <t>Nonnegative difference magnitude; no sign, no clipping, no guaranteed upper bound of 1; not a percentage gain</t>
        </is>
      </c>
    </row>
    <row r="46" ht="22" customHeight="1">
      <c r="A46" s="6" t="inlineStr">
        <is>
          <t>observe_link</t>
        </is>
      </c>
      <c r="B46" s="6" t="inlineStr">
        <is>
          <t>shortest scaled edge; node-order tie break</t>
        </is>
      </c>
    </row>
    <row r="47" ht="22" customHeight="1">
      <c r="A47" s="6" t="inlineStr">
        <is>
          <t>observe_link_length_km</t>
        </is>
      </c>
      <c r="B47" s="6" t="n"/>
    </row>
    <row r="48" ht="30" customHeight="1">
      <c r="A48" s="6" t="inlineStr">
        <is>
          <t>observed_length_policy</t>
        </is>
      </c>
      <c r="B48" s="6" t="inlineStr">
        <is>
          <t>Default: scale all original edge lengths by 10/min(original lengths); explicit uniform or observed-edge overrides are separate experiments; actual observed length stored in runs</t>
        </is>
      </c>
    </row>
    <row r="49" ht="22" customHeight="1">
      <c r="A49" s="6" t="inlineStr">
        <is>
          <t>synergy_baseline_layout</t>
        </is>
      </c>
      <c r="B49" s="6" t="inlineStr">
        <is>
          <t>{"quantum": [6], "forward": [0, 1, 2], "backward": [3, 4, 5]}</t>
        </is>
      </c>
    </row>
    <row r="50" ht="22" customHeight="1">
      <c r="A50" s="6" t="inlineStr">
        <is>
          <t>synergy_baseline_resource_policy</t>
        </is>
      </c>
      <c r="B50" s="6" t="inlineStr">
        <is>
          <t>Three-core binding; disjoint directional groups; ascending actual frequency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2026-09-23T04:16:52Z</dcterms:created>
  <dcterms:modified xsi:type="dcterms:W3CDTF">2026-09-23T04:16:55Z</dcterms:modified>
</cp:coreProperties>
</file>