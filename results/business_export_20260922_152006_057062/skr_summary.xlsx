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Sweep" sheetId="1" state="visible" r:id="rId1"/>
    <sheet name="PowerSweep" sheetId="2" state="visible" r:id="rId2"/>
    <sheet name="Run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54B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10.5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'LoadSweep'!$A$2:$A$8</f>
            </numRef>
          </xVal>
          <yVal>
            <numRef>
              <f>'LoadSweep'!$D$2:$D$8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'LoadSweep'!$A$2:$A$8</f>
            </numRef>
          </xVal>
          <yVal>
            <numRef>
              <f>'LoadSweep'!$K$2:$K$8</f>
            </numRef>
          </yVal>
        </ser>
        <ser>
          <idx val="2"/>
          <order val="2"/>
          <tx>
            <v>Max SKR gain: +59.6%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b"/>
            <showLegendKey val="0"/>
            <showVal val="0"/>
            <showSerName val="1"/>
          </dLbls>
          <xVal>
            <numRef>
              <f>'LoadSweep'!$A$7</f>
            </numRef>
          </xVal>
          <yVal>
            <numRef>
              <f>'LoadSweep'!$K$7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96.4123596089893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total SKR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legendEntry>
        <idx val="2"/>
        <delete val="1"/>
      </legendEntry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Load sweep | 10.5 dBm/core/channel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'LoadSweep'!$A$2:$A$8</f>
            </numRef>
          </xVal>
          <yVal>
            <numRef>
              <f>'LoadSweep'!$F$2:$F$8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'LoadSweep'!$A$2:$A$8</f>
            </numRef>
          </xVal>
          <yVal>
            <numRef>
              <f>'LoadSweep'!$M$2:$M$8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Three-core group traffic (Erlang)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237774363476734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10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'PowerSweep'!$D$2:$D$6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'PowerSweep'!$K$2:$K$6</f>
            </numRef>
          </yVal>
        </ser>
        <ser>
          <idx val="2"/>
          <order val="2"/>
          <tx>
            <v>Max SKR gain: +43.7%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Pos val="b"/>
            <showLegendKey val="0"/>
            <showVal val="0"/>
            <showSerName val="1"/>
          </dLbls>
          <xVal>
            <numRef>
              <f>'PowerSweep'!$B$6</f>
            </numRef>
          </xVal>
          <yVal>
            <numRef>
              <f>'PowerSweep'!$K$6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396.4123596089893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total SKR (kbit/s)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  <legendEntry>
        <idx val="2"/>
        <delete val="1"/>
      </legendEntry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Power sweep | 10 Erlang of three-core groups</a:t>
            </a:r>
          </a:p>
        </rich>
      </tx>
    </title>
    <plotArea>
      <scatterChart>
        <scatterStyle val="lineMarker"/>
        <ser>
          <idx val="0"/>
          <order val="0"/>
          <tx>
            <v>first-fit</v>
          </tx>
          <spPr>
            <a:ln>
              <a:solidFill>
                <a:srgbClr val="2563EB"/>
              </a:solidFill>
              <a:prstDash val="solid"/>
            </a:ln>
          </spPr>
          <marker>
            <symbol val="circle"/>
            <size val="5"/>
            <spPr>
              <a:solidFill>
                <a:srgbClr val="2563EB"/>
              </a:solidFill>
              <a:ln>
                <a:solidFill>
                  <a:srgbClr val="2563EB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'PowerSweep'!$F$2:$F$6</f>
            </numRef>
          </yVal>
        </ser>
        <ser>
          <idx val="1"/>
          <order val="1"/>
          <tx>
            <v>greedy_min_noise</v>
          </tx>
          <spPr>
            <a:ln>
              <a:solidFill>
                <a:srgbClr val="D97706"/>
              </a:solidFill>
              <a:prstDash val="dash"/>
            </a:ln>
          </spPr>
          <marker>
            <symbol val="square"/>
            <size val="7"/>
            <spPr>
              <a:noFill/>
              <a:ln>
                <a:solidFill>
                  <a:srgbClr val="D97706"/>
                </a:solidFill>
                <a:prstDash val="solid"/>
              </a:ln>
            </spPr>
          </marker>
          <xVal>
            <numRef>
              <f>'PowerSweep'!$B$2:$B$6</f>
            </numRef>
          </xVal>
          <yVal>
            <numRef>
              <f>'PowerSweep'!$M$2:$M$6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Power per core per channel (dBm)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237774363476734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Classical blocking probability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39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37</row>
      <rowOff>0</rowOff>
    </from>
    <ext cx="900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oadSweepTable" displayName="LoadSweepTable" ref="A1:Q8" headerRowCount="1">
  <autoFilter ref="A1:Q8"/>
  <tableColumns count="17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zero_skr_fraction_mean"/>
    <tableColumn id="10" name="greedy_seed_count"/>
    <tableColumn id="11" name="greedy_skr_kbit_s"/>
    <tableColumn id="12" name="greedy_skr_sd_kbit_s"/>
    <tableColumn id="13" name="greedy_blocking_rate"/>
    <tableColumn id="14" name="greedy_blocking_rate_sd"/>
    <tableColumn id="15" name="greedy_carried_load_erlang"/>
    <tableColumn id="16" name="greedy_zero_skr_fraction_mean"/>
    <tableColumn id="17" name="gain_vs_FF"/>
  </tableColumns>
  <tableStyleInfo name="TableStyleMedium2" showRowStripes="1"/>
</table>
</file>

<file path=xl/tables/table2.xml><?xml version="1.0" encoding="utf-8"?>
<table xmlns="http://schemas.openxmlformats.org/spreadsheetml/2006/main" id="2" name="PowerSweepTable" displayName="PowerSweepTable" ref="A1:Q6" headerRowCount="1">
  <autoFilter ref="A1:Q6"/>
  <tableColumns count="17">
    <tableColumn id="1" name="load_erlang"/>
    <tableColumn id="2" name="power_dbm"/>
    <tableColumn id="3" name="ff_seed_count"/>
    <tableColumn id="4" name="ff_skr_kbit_s"/>
    <tableColumn id="5" name="ff_skr_sd_kbit_s"/>
    <tableColumn id="6" name="ff_blocking_rate"/>
    <tableColumn id="7" name="ff_blocking_rate_sd"/>
    <tableColumn id="8" name="ff_carried_load_erlang"/>
    <tableColumn id="9" name="ff_zero_skr_fraction_mean"/>
    <tableColumn id="10" name="greedy_seed_count"/>
    <tableColumn id="11" name="greedy_skr_kbit_s"/>
    <tableColumn id="12" name="greedy_skr_sd_kbit_s"/>
    <tableColumn id="13" name="greedy_blocking_rate"/>
    <tableColumn id="14" name="greedy_blocking_rate_sd"/>
    <tableColumn id="15" name="greedy_carried_load_erlang"/>
    <tableColumn id="16" name="greedy_zero_skr_fraction_mean"/>
    <tableColumn id="17" name="gain_vs_FF"/>
  </tableColumns>
  <tableStyleInfo name="TableStyleMedium2" showRowStripes="1"/>
</table>
</file>

<file path=xl/tables/table3.xml><?xml version="1.0" encoding="utf-8"?>
<table xmlns="http://schemas.openxmlformats.org/spreadsheetml/2006/main" id="3" name="RunsTable" displayName="RunsTable" ref="A1:AC25" headerRowCount="1">
  <autoFilter ref="A1:AC25"/>
  <tableColumns count="29">
    <tableColumn id="1" name="group"/>
    <tableColumn id="2" name="algorithm"/>
    <tableColumn id="3" name="load_erlang"/>
    <tableColumn id="4" name="power_dbm"/>
    <tableColumn id="5" name="seed"/>
    <tableColumn id="6" name="skr_mean"/>
    <tableColumn id="7" name="raw_skr_mean"/>
    <tableColumn id="8" name="no_fwm_skr_mean"/>
    <tableColumn id="9" name="zero_noise_skr_mean"/>
    <tableColumn id="10" name="raman_w_mean"/>
    <tableColumn id="11" name="fwm_w_mean"/>
    <tableColumn id="12" name="noise_counts_mean"/>
    <tableColumn id="13" name="active_services_mean"/>
    <tableColumn id="14" name="occupied_channels_mean"/>
    <tableColumn id="15" name="zero_skr_fraction_mean"/>
    <tableColumn id="16" name="offered"/>
    <tableColumn id="17" name="accepted"/>
    <tableColumn id="18" name="blocked"/>
    <tableColumn id="19" name="blocking_rate"/>
    <tableColumn id="20" name="carried_load_erlang"/>
    <tableColumn id="21" name="channel_utilization"/>
    <tableColumn id="22" name="capacity"/>
    <tableColumn id="23" name="samples"/>
    <tableColumn id="24" name="fallback_rate"/>
    <tableColumn id="25" name="preferred_safe_admissions"/>
    <tableColumn id="26" name="other_safe_admissions"/>
    <tableColumn id="27" name="fallback_admissions"/>
    <tableColumn id="28" name="traffic_sha256"/>
    <tableColumn id="29" name="runtime_s"/>
  </tableColumns>
  <tableStyleInfo name="TableStyleMedium2" showRowStripes="1"/>
</table>
</file>

<file path=xl/tables/table4.xml><?xml version="1.0" encoding="utf-8"?>
<table xmlns="http://schemas.openxmlformats.org/spreadsheetml/2006/main" id="4" name="ConfigTable" displayName="ConfigTable" ref="A1:B28" headerRowCount="1">
  <autoFilter ref="A1:B28"/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19" customWidth="1" min="10" max="10"/>
    <col width="19" customWidth="1" min="11" max="11"/>
    <col width="22" customWidth="1" min="12" max="12"/>
    <col width="22" customWidth="1" min="13" max="13"/>
    <col width="25" customWidth="1" min="14" max="14"/>
    <col width="28" customWidth="1" min="15" max="15"/>
    <col width="30" customWidth="1" min="16" max="16"/>
    <col width="15" customWidth="1" min="17" max="17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ff_zero_skr_fraction_mean</t>
        </is>
      </c>
      <c r="J1" s="1" t="inlineStr">
        <is>
          <t>greedy_seed_count</t>
        </is>
      </c>
      <c r="K1" s="1" t="inlineStr">
        <is>
          <t>greedy_skr_kbit_s</t>
        </is>
      </c>
      <c r="L1" s="1" t="inlineStr">
        <is>
          <t>greedy_skr_sd_kbit_s</t>
        </is>
      </c>
      <c r="M1" s="1" t="inlineStr">
        <is>
          <t>greedy_blocking_rate</t>
        </is>
      </c>
      <c r="N1" s="1" t="inlineStr">
        <is>
          <t>greedy_blocking_rate_sd</t>
        </is>
      </c>
      <c r="O1" s="1" t="inlineStr">
        <is>
          <t>greedy_carried_load_erlang</t>
        </is>
      </c>
      <c r="P1" s="1" t="inlineStr">
        <is>
          <t>greedy_zero_skr_fraction_mean</t>
        </is>
      </c>
      <c r="Q1" s="1" t="inlineStr">
        <is>
          <t>gain_vs_FF</t>
        </is>
      </c>
    </row>
    <row r="2">
      <c r="A2" s="2" t="n">
        <v>3</v>
      </c>
      <c r="B2" s="2" t="n">
        <v>10.5</v>
      </c>
      <c r="C2" s="3" t="n">
        <v>1</v>
      </c>
      <c r="D2" s="2" t="n">
        <v>347.0571423016506</v>
      </c>
      <c r="E2" s="3" t="n"/>
      <c r="F2" s="4" t="n">
        <v>0</v>
      </c>
      <c r="G2" s="3" t="n"/>
      <c r="H2" s="2" t="n">
        <v>2.893700645622847</v>
      </c>
      <c r="I2" s="4" t="n">
        <v>0</v>
      </c>
      <c r="J2" s="3" t="n">
        <v>1</v>
      </c>
      <c r="K2" s="2" t="n">
        <v>367.0484811194345</v>
      </c>
      <c r="L2" s="3" t="n"/>
      <c r="M2" s="4" t="n">
        <v>0</v>
      </c>
      <c r="N2" s="3" t="n"/>
      <c r="O2" s="2" t="n">
        <v>2.893700645622847</v>
      </c>
      <c r="P2" s="4" t="n">
        <v>0</v>
      </c>
      <c r="Q2" s="4" t="n">
        <v>0.05760244173395535</v>
      </c>
    </row>
    <row r="3">
      <c r="A3" s="2" t="n">
        <v>5</v>
      </c>
      <c r="B3" s="2" t="n">
        <v>10.5</v>
      </c>
      <c r="C3" s="3" t="n">
        <v>1</v>
      </c>
      <c r="D3" s="2" t="n">
        <v>319.4760124609007</v>
      </c>
      <c r="E3" s="3" t="n"/>
      <c r="F3" s="4" t="n">
        <v>0.01691093573844419</v>
      </c>
      <c r="G3" s="3" t="n"/>
      <c r="H3" s="2" t="n">
        <v>4.757867320005857</v>
      </c>
      <c r="I3" s="4" t="n">
        <v>0</v>
      </c>
      <c r="J3" s="3" t="n">
        <v>1</v>
      </c>
      <c r="K3" s="2" t="n">
        <v>365.947404361447</v>
      </c>
      <c r="L3" s="3" t="n"/>
      <c r="M3" s="4" t="n">
        <v>0.01691093573844419</v>
      </c>
      <c r="N3" s="3" t="n"/>
      <c r="O3" s="2" t="n">
        <v>4.757867320005857</v>
      </c>
      <c r="P3" s="4" t="n">
        <v>0</v>
      </c>
      <c r="Q3" s="4" t="n">
        <v>0.1454612868821683</v>
      </c>
    </row>
    <row r="4">
      <c r="A4" s="2" t="n">
        <v>7</v>
      </c>
      <c r="B4" s="2" t="n">
        <v>10.5</v>
      </c>
      <c r="C4" s="3" t="n">
        <v>1</v>
      </c>
      <c r="D4" s="2" t="n">
        <v>275.9730439051677</v>
      </c>
      <c r="E4" s="3" t="n"/>
      <c r="F4" s="4" t="n">
        <v>0.04019292604501608</v>
      </c>
      <c r="G4" s="3" t="n"/>
      <c r="H4" s="2" t="n">
        <v>6.475256934088652</v>
      </c>
      <c r="I4" s="4" t="n">
        <v>0</v>
      </c>
      <c r="J4" s="3" t="n">
        <v>1</v>
      </c>
      <c r="K4" s="2" t="n">
        <v>360.8245945655299</v>
      </c>
      <c r="L4" s="3" t="n"/>
      <c r="M4" s="4" t="n">
        <v>0.04019292604501608</v>
      </c>
      <c r="N4" s="3" t="n"/>
      <c r="O4" s="2" t="n">
        <v>6.475256934088652</v>
      </c>
      <c r="P4" s="4" t="n">
        <v>0</v>
      </c>
      <c r="Q4" s="4" t="n">
        <v>0.307463183576435</v>
      </c>
    </row>
    <row r="5">
      <c r="A5" s="2" t="n">
        <v>8</v>
      </c>
      <c r="B5" s="2" t="n">
        <v>10.5</v>
      </c>
      <c r="C5" s="3" t="n">
        <v>1</v>
      </c>
      <c r="D5" s="2" t="n">
        <v>263.7132380333244</v>
      </c>
      <c r="E5" s="3" t="n"/>
      <c r="F5" s="4" t="n">
        <v>0.06058446186742694</v>
      </c>
      <c r="G5" s="3" t="n"/>
      <c r="H5" s="2" t="n">
        <v>7.175413948227667</v>
      </c>
      <c r="I5" s="4" t="n">
        <v>0</v>
      </c>
      <c r="J5" s="3" t="n">
        <v>1</v>
      </c>
      <c r="K5" s="2" t="n">
        <v>360.9568732460455</v>
      </c>
      <c r="L5" s="3" t="n"/>
      <c r="M5" s="4" t="n">
        <v>0.06058446186742694</v>
      </c>
      <c r="N5" s="3" t="n"/>
      <c r="O5" s="2" t="n">
        <v>7.175413948227667</v>
      </c>
      <c r="P5" s="4" t="n">
        <v>0</v>
      </c>
      <c r="Q5" s="4" t="n">
        <v>0.3687476439860511</v>
      </c>
    </row>
    <row r="6">
      <c r="A6" s="2" t="n">
        <v>10</v>
      </c>
      <c r="B6" s="2" t="n">
        <v>10.5</v>
      </c>
      <c r="C6" s="3" t="n">
        <v>1</v>
      </c>
      <c r="D6" s="2" t="n">
        <v>246.2887192794713</v>
      </c>
      <c r="E6" s="3" t="n"/>
      <c r="F6" s="4" t="n">
        <v>0.1104751001717229</v>
      </c>
      <c r="G6" s="3" t="n"/>
      <c r="H6" s="2" t="n">
        <v>8.471615584501372</v>
      </c>
      <c r="I6" s="4" t="n">
        <v>0</v>
      </c>
      <c r="J6" s="3" t="n">
        <v>1</v>
      </c>
      <c r="K6" s="2" t="n">
        <v>353.8857176017345</v>
      </c>
      <c r="L6" s="3" t="n"/>
      <c r="M6" s="4" t="n">
        <v>0.1104751001717229</v>
      </c>
      <c r="N6" s="3" t="n"/>
      <c r="O6" s="2" t="n">
        <v>8.471615584501372</v>
      </c>
      <c r="P6" s="4" t="n">
        <v>0</v>
      </c>
      <c r="Q6" s="4" t="n">
        <v>0.4368734330871631</v>
      </c>
    </row>
    <row r="7">
      <c r="A7" s="2" t="n">
        <v>12</v>
      </c>
      <c r="B7" s="2" t="n">
        <v>10.5</v>
      </c>
      <c r="C7" s="3" t="n">
        <v>1</v>
      </c>
      <c r="D7" s="2" t="n">
        <v>217.1078950666618</v>
      </c>
      <c r="E7" s="3" t="n"/>
      <c r="F7" s="4" t="n">
        <v>0.1781800857551215</v>
      </c>
      <c r="G7" s="3" t="n"/>
      <c r="H7" s="2" t="n">
        <v>9.28529279946958</v>
      </c>
      <c r="I7" s="4" t="n">
        <v>0</v>
      </c>
      <c r="J7" s="3" t="n">
        <v>1</v>
      </c>
      <c r="K7" s="2" t="n">
        <v>346.449005634668</v>
      </c>
      <c r="L7" s="3" t="n"/>
      <c r="M7" s="4" t="n">
        <v>0.1781800857551215</v>
      </c>
      <c r="N7" s="3" t="n"/>
      <c r="O7" s="2" t="n">
        <v>9.28529279946958</v>
      </c>
      <c r="P7" s="4" t="n">
        <v>0</v>
      </c>
      <c r="Q7" s="4" t="n">
        <v>0.5957457720655102</v>
      </c>
    </row>
    <row r="8">
      <c r="A8" s="2" t="n">
        <v>13</v>
      </c>
      <c r="B8" s="2" t="n">
        <v>10.5</v>
      </c>
      <c r="C8" s="3" t="n">
        <v>1</v>
      </c>
      <c r="D8" s="2" t="n">
        <v>213.9998643171664</v>
      </c>
      <c r="E8" s="3" t="n"/>
      <c r="F8" s="4" t="n">
        <v>0.2067603160667252</v>
      </c>
      <c r="G8" s="3" t="n"/>
      <c r="H8" s="2" t="n">
        <v>9.814272046952366</v>
      </c>
      <c r="I8" s="4" t="n">
        <v>0</v>
      </c>
      <c r="J8" s="3" t="n">
        <v>1</v>
      </c>
      <c r="K8" s="2" t="n">
        <v>340.7091904507462</v>
      </c>
      <c r="L8" s="3" t="n"/>
      <c r="M8" s="4" t="n">
        <v>0.2067603160667252</v>
      </c>
      <c r="N8" s="3" t="n"/>
      <c r="O8" s="2" t="n">
        <v>9.814272046952366</v>
      </c>
      <c r="P8" s="4" t="n">
        <v>0</v>
      </c>
      <c r="Q8" s="4" t="n">
        <v>0.5921000302401389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8" customWidth="1" min="6" max="6"/>
    <col width="21" customWidth="1" min="7" max="7"/>
    <col width="24" customWidth="1" min="8" max="8"/>
    <col width="27" customWidth="1" min="9" max="9"/>
    <col width="19" customWidth="1" min="10" max="10"/>
    <col width="19" customWidth="1" min="11" max="11"/>
    <col width="22" customWidth="1" min="12" max="12"/>
    <col width="22" customWidth="1" min="13" max="13"/>
    <col width="25" customWidth="1" min="14" max="14"/>
    <col width="28" customWidth="1" min="15" max="15"/>
    <col width="30" customWidth="1" min="16" max="16"/>
    <col width="15" customWidth="1" min="17" max="17"/>
  </cols>
  <sheetData>
    <row r="1" ht="42" customHeight="1">
      <c r="A1" s="1" t="inlineStr">
        <is>
          <t>load_erlang</t>
        </is>
      </c>
      <c r="B1" s="1" t="inlineStr">
        <is>
          <t>power_dbm</t>
        </is>
      </c>
      <c r="C1" s="1" t="inlineStr">
        <is>
          <t>ff_seed_count</t>
        </is>
      </c>
      <c r="D1" s="1" t="inlineStr">
        <is>
          <t>ff_skr_kbit_s</t>
        </is>
      </c>
      <c r="E1" s="1" t="inlineStr">
        <is>
          <t>ff_skr_sd_kbit_s</t>
        </is>
      </c>
      <c r="F1" s="1" t="inlineStr">
        <is>
          <t>ff_blocking_rate</t>
        </is>
      </c>
      <c r="G1" s="1" t="inlineStr">
        <is>
          <t>ff_blocking_rate_sd</t>
        </is>
      </c>
      <c r="H1" s="1" t="inlineStr">
        <is>
          <t>ff_carried_load_erlang</t>
        </is>
      </c>
      <c r="I1" s="1" t="inlineStr">
        <is>
          <t>ff_zero_skr_fraction_mean</t>
        </is>
      </c>
      <c r="J1" s="1" t="inlineStr">
        <is>
          <t>greedy_seed_count</t>
        </is>
      </c>
      <c r="K1" s="1" t="inlineStr">
        <is>
          <t>greedy_skr_kbit_s</t>
        </is>
      </c>
      <c r="L1" s="1" t="inlineStr">
        <is>
          <t>greedy_skr_sd_kbit_s</t>
        </is>
      </c>
      <c r="M1" s="1" t="inlineStr">
        <is>
          <t>greedy_blocking_rate</t>
        </is>
      </c>
      <c r="N1" s="1" t="inlineStr">
        <is>
          <t>greedy_blocking_rate_sd</t>
        </is>
      </c>
      <c r="O1" s="1" t="inlineStr">
        <is>
          <t>greedy_carried_load_erlang</t>
        </is>
      </c>
      <c r="P1" s="1" t="inlineStr">
        <is>
          <t>greedy_zero_skr_fraction_mean</t>
        </is>
      </c>
      <c r="Q1" s="1" t="inlineStr">
        <is>
          <t>gain_vs_FF</t>
        </is>
      </c>
    </row>
    <row r="2">
      <c r="A2" s="2" t="n">
        <v>10</v>
      </c>
      <c r="B2" s="2" t="n">
        <v>7</v>
      </c>
      <c r="C2" s="3" t="n">
        <v>1</v>
      </c>
      <c r="D2" s="2" t="n">
        <v>353.127189516985</v>
      </c>
      <c r="E2" s="3" t="n"/>
      <c r="F2" s="4" t="n">
        <v>0.1104751001717229</v>
      </c>
      <c r="G2" s="3" t="n"/>
      <c r="H2" s="2" t="n">
        <v>8.471615584501372</v>
      </c>
      <c r="I2" s="4" t="n">
        <v>0</v>
      </c>
      <c r="J2" s="3" t="n">
        <v>1</v>
      </c>
      <c r="K2" s="2" t="n">
        <v>365.7741510602497</v>
      </c>
      <c r="L2" s="3" t="n"/>
      <c r="M2" s="4" t="n">
        <v>0.1104751001717229</v>
      </c>
      <c r="N2" s="3" t="n"/>
      <c r="O2" s="2" t="n">
        <v>8.471615584501372</v>
      </c>
      <c r="P2" s="4" t="n">
        <v>0</v>
      </c>
      <c r="Q2" s="4" t="n">
        <v>0.03581418230797673</v>
      </c>
    </row>
    <row r="3">
      <c r="A3" s="2" t="n">
        <v>10</v>
      </c>
      <c r="B3" s="2" t="n">
        <v>8</v>
      </c>
      <c r="C3" s="3" t="n">
        <v>1</v>
      </c>
      <c r="D3" s="2" t="n">
        <v>340.4046422849984</v>
      </c>
      <c r="E3" s="3" t="n"/>
      <c r="F3" s="4" t="n">
        <v>0.1104751001717229</v>
      </c>
      <c r="G3" s="3" t="n"/>
      <c r="H3" s="2" t="n">
        <v>8.471615584501372</v>
      </c>
      <c r="I3" s="4" t="n">
        <v>0</v>
      </c>
      <c r="J3" s="3" t="n">
        <v>1</v>
      </c>
      <c r="K3" s="2" t="n">
        <v>364.5023878195557</v>
      </c>
      <c r="L3" s="3" t="n"/>
      <c r="M3" s="4" t="n">
        <v>0.1104751001717229</v>
      </c>
      <c r="N3" s="3" t="n"/>
      <c r="O3" s="2" t="n">
        <v>8.471615584501372</v>
      </c>
      <c r="P3" s="4" t="n">
        <v>0</v>
      </c>
      <c r="Q3" s="4" t="n">
        <v>0.07079147150520315</v>
      </c>
    </row>
    <row r="4">
      <c r="A4" s="2" t="n">
        <v>10</v>
      </c>
      <c r="B4" s="2" t="n">
        <v>9</v>
      </c>
      <c r="C4" s="3" t="n">
        <v>1</v>
      </c>
      <c r="D4" s="2" t="n">
        <v>317.2710371022711</v>
      </c>
      <c r="E4" s="3" t="n"/>
      <c r="F4" s="4" t="n">
        <v>0.1104751001717229</v>
      </c>
      <c r="G4" s="3" t="n"/>
      <c r="H4" s="2" t="n">
        <v>8.471615584501372</v>
      </c>
      <c r="I4" s="4" t="n">
        <v>0</v>
      </c>
      <c r="J4" s="3" t="n">
        <v>1</v>
      </c>
      <c r="K4" s="2" t="n">
        <v>362.0727799115979</v>
      </c>
      <c r="L4" s="3" t="n"/>
      <c r="M4" s="4" t="n">
        <v>0.1104751001717229</v>
      </c>
      <c r="N4" s="3" t="n"/>
      <c r="O4" s="2" t="n">
        <v>8.471615584501372</v>
      </c>
      <c r="P4" s="4" t="n">
        <v>0</v>
      </c>
      <c r="Q4" s="4" t="n">
        <v>0.1412096837407983</v>
      </c>
    </row>
    <row r="5">
      <c r="A5" s="2" t="n">
        <v>10</v>
      </c>
      <c r="B5" s="2" t="n">
        <v>10</v>
      </c>
      <c r="C5" s="3" t="n">
        <v>1</v>
      </c>
      <c r="D5" s="2" t="n">
        <v>276.5467609467117</v>
      </c>
      <c r="E5" s="3" t="n"/>
      <c r="F5" s="4" t="n">
        <v>0.1104751001717229</v>
      </c>
      <c r="G5" s="3" t="n"/>
      <c r="H5" s="2" t="n">
        <v>8.471615584501372</v>
      </c>
      <c r="I5" s="4" t="n">
        <v>0</v>
      </c>
      <c r="J5" s="3" t="n">
        <v>1</v>
      </c>
      <c r="K5" s="2" t="n">
        <v>357.4882203383146</v>
      </c>
      <c r="L5" s="3" t="n"/>
      <c r="M5" s="4" t="n">
        <v>0.1104751001717229</v>
      </c>
      <c r="N5" s="3" t="n"/>
      <c r="O5" s="2" t="n">
        <v>8.471615584501372</v>
      </c>
      <c r="P5" s="4" t="n">
        <v>0</v>
      </c>
      <c r="Q5" s="4" t="n">
        <v>0.2926863403299798</v>
      </c>
    </row>
    <row r="6">
      <c r="A6" s="2" t="n">
        <v>10</v>
      </c>
      <c r="B6" s="2" t="n">
        <v>10.5</v>
      </c>
      <c r="C6" s="3" t="n">
        <v>1</v>
      </c>
      <c r="D6" s="2" t="n">
        <v>246.2887192794713</v>
      </c>
      <c r="E6" s="3" t="n"/>
      <c r="F6" s="4" t="n">
        <v>0.1104751001717229</v>
      </c>
      <c r="G6" s="3" t="n"/>
      <c r="H6" s="2" t="n">
        <v>8.471615584501372</v>
      </c>
      <c r="I6" s="4" t="n">
        <v>0</v>
      </c>
      <c r="J6" s="3" t="n">
        <v>1</v>
      </c>
      <c r="K6" s="2" t="n">
        <v>353.8857176017345</v>
      </c>
      <c r="L6" s="3" t="n"/>
      <c r="M6" s="4" t="n">
        <v>0.1104751001717229</v>
      </c>
      <c r="N6" s="3" t="n"/>
      <c r="O6" s="2" t="n">
        <v>8.471615584501372</v>
      </c>
      <c r="P6" s="4" t="n">
        <v>0</v>
      </c>
      <c r="Q6" s="4" t="n">
        <v>0.4368734330871631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5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5" customWidth="1" min="10" max="10"/>
    <col width="15" customWidth="1" min="11" max="11"/>
    <col width="19" customWidth="1" min="12" max="12"/>
    <col width="22" customWidth="1" min="13" max="13"/>
    <col width="24" customWidth="1" min="14" max="14"/>
    <col width="24" customWidth="1" min="15" max="15"/>
    <col width="15" customWidth="1" min="16" max="16"/>
    <col width="15" customWidth="1" min="17" max="17"/>
    <col width="15" customWidth="1" min="18" max="18"/>
    <col width="15" customWidth="1" min="19" max="19"/>
    <col width="21" customWidth="1" min="20" max="20"/>
    <col width="21" customWidth="1" min="21" max="21"/>
    <col width="15" customWidth="1" min="22" max="22"/>
    <col width="15" customWidth="1" min="23" max="23"/>
    <col width="15" customWidth="1" min="24" max="24"/>
    <col width="27" customWidth="1" min="25" max="25"/>
    <col width="23" customWidth="1" min="26" max="26"/>
    <col width="21" customWidth="1" min="27" max="27"/>
    <col width="16" customWidth="1" min="28" max="28"/>
    <col width="15" customWidth="1" min="29" max="29"/>
  </cols>
  <sheetData>
    <row r="1" ht="42" customHeight="1">
      <c r="A1" s="1" t="inlineStr">
        <is>
          <t>group</t>
        </is>
      </c>
      <c r="B1" s="1" t="inlineStr">
        <is>
          <t>algorithm</t>
        </is>
      </c>
      <c r="C1" s="1" t="inlineStr">
        <is>
          <t>load_erlang</t>
        </is>
      </c>
      <c r="D1" s="1" t="inlineStr">
        <is>
          <t>power_dbm</t>
        </is>
      </c>
      <c r="E1" s="1" t="inlineStr">
        <is>
          <t>seed</t>
        </is>
      </c>
      <c r="F1" s="1" t="inlineStr">
        <is>
          <t>skr_mean</t>
        </is>
      </c>
      <c r="G1" s="1" t="inlineStr">
        <is>
          <t>raw_skr_mean</t>
        </is>
      </c>
      <c r="H1" s="1" t="inlineStr">
        <is>
          <t>no_fwm_skr_mean</t>
        </is>
      </c>
      <c r="I1" s="1" t="inlineStr">
        <is>
          <t>zero_noise_skr_mean</t>
        </is>
      </c>
      <c r="J1" s="1" t="inlineStr">
        <is>
          <t>raman_w_mean</t>
        </is>
      </c>
      <c r="K1" s="1" t="inlineStr">
        <is>
          <t>fwm_w_mean</t>
        </is>
      </c>
      <c r="L1" s="1" t="inlineStr">
        <is>
          <t>noise_counts_mean</t>
        </is>
      </c>
      <c r="M1" s="1" t="inlineStr">
        <is>
          <t>active_services_mean</t>
        </is>
      </c>
      <c r="N1" s="1" t="inlineStr">
        <is>
          <t>occupied_channels_mean</t>
        </is>
      </c>
      <c r="O1" s="1" t="inlineStr">
        <is>
          <t>zero_skr_fraction_mean</t>
        </is>
      </c>
      <c r="P1" s="1" t="inlineStr">
        <is>
          <t>offered</t>
        </is>
      </c>
      <c r="Q1" s="1" t="inlineStr">
        <is>
          <t>accepted</t>
        </is>
      </c>
      <c r="R1" s="1" t="inlineStr">
        <is>
          <t>blocked</t>
        </is>
      </c>
      <c r="S1" s="1" t="inlineStr">
        <is>
          <t>blocking_rate</t>
        </is>
      </c>
      <c r="T1" s="1" t="inlineStr">
        <is>
          <t>carried_load_erlang</t>
        </is>
      </c>
      <c r="U1" s="1" t="inlineStr">
        <is>
          <t>channel_utilization</t>
        </is>
      </c>
      <c r="V1" s="1" t="inlineStr">
        <is>
          <t>capacity</t>
        </is>
      </c>
      <c r="W1" s="1" t="inlineStr">
        <is>
          <t>samples</t>
        </is>
      </c>
      <c r="X1" s="1" t="inlineStr">
        <is>
          <t>fallback_rate</t>
        </is>
      </c>
      <c r="Y1" s="1" t="inlineStr">
        <is>
          <t>preferred_safe_admissions</t>
        </is>
      </c>
      <c r="Z1" s="1" t="inlineStr">
        <is>
          <t>other_safe_admissions</t>
        </is>
      </c>
      <c r="AA1" s="1" t="inlineStr">
        <is>
          <t>fallback_admissions</t>
        </is>
      </c>
      <c r="AB1" s="1" t="inlineStr">
        <is>
          <t>traffic_sha256</t>
        </is>
      </c>
      <c r="AC1" s="1" t="inlineStr">
        <is>
          <t>runtime_s</t>
        </is>
      </c>
    </row>
    <row r="2">
      <c r="A2" s="3" t="inlineStr">
        <is>
          <t>load_scan</t>
        </is>
      </c>
      <c r="B2" s="3" t="inlineStr">
        <is>
          <t>first-fit</t>
        </is>
      </c>
      <c r="C2" s="3" t="n">
        <v>3</v>
      </c>
      <c r="D2" s="2" t="n">
        <v>10.5</v>
      </c>
      <c r="E2" s="3" t="n">
        <v>53</v>
      </c>
      <c r="F2" s="2" t="n">
        <v>347057.1423016506</v>
      </c>
      <c r="G2" s="2" t="n">
        <v>347057.1423016506</v>
      </c>
      <c r="H2" s="2" t="n">
        <v>367085.1668912675</v>
      </c>
      <c r="I2" s="2" t="n">
        <v>367245.4780671104</v>
      </c>
      <c r="J2" s="5" t="n">
        <v>6.488497392895727e-16</v>
      </c>
      <c r="K2" s="5" t="n">
        <v>1.040998061231245e-13</v>
      </c>
      <c r="L2" s="5" t="n">
        <v>1.294826144875568e-05</v>
      </c>
      <c r="M2" s="2" t="n">
        <v>2.966666666666667</v>
      </c>
      <c r="N2" s="2" t="n">
        <v>8.9</v>
      </c>
      <c r="O2" s="4" t="n">
        <v>0</v>
      </c>
      <c r="P2" s="3" t="n">
        <v>528</v>
      </c>
      <c r="Q2" s="3" t="n">
        <v>528</v>
      </c>
      <c r="R2" s="3" t="n">
        <v>0</v>
      </c>
      <c r="S2" s="4" t="n">
        <v>0</v>
      </c>
      <c r="T2" s="2" t="n">
        <v>2.893700645622847</v>
      </c>
      <c r="U2" s="4" t="n">
        <v>0.206692903258775</v>
      </c>
      <c r="V2" s="3" t="n">
        <v>42</v>
      </c>
      <c r="W2" s="3" t="n">
        <v>90</v>
      </c>
      <c r="X2" s="3" t="n"/>
      <c r="Y2" s="3" t="n"/>
      <c r="Z2" s="3" t="n"/>
      <c r="AA2" s="3" t="n"/>
      <c r="AB2" s="3" t="inlineStr">
        <is>
          <t>01bc2545a63a17c827b287f1cbe0c0f7bd49348209b9a56c6adb8a582d71ab97</t>
        </is>
      </c>
      <c r="AC2" s="2" t="n">
        <v>0.2853324000025168</v>
      </c>
    </row>
    <row r="3">
      <c r="A3" s="3" t="inlineStr">
        <is>
          <t>load_scan</t>
        </is>
      </c>
      <c r="B3" s="3" t="inlineStr">
        <is>
          <t>greedy_min_noise</t>
        </is>
      </c>
      <c r="C3" s="3" t="n">
        <v>3</v>
      </c>
      <c r="D3" s="2" t="n">
        <v>10.5</v>
      </c>
      <c r="E3" s="3" t="n">
        <v>53</v>
      </c>
      <c r="F3" s="2" t="n">
        <v>367048.4811194345</v>
      </c>
      <c r="G3" s="2" t="n">
        <v>367048.4811194345</v>
      </c>
      <c r="H3" s="2" t="n">
        <v>367073.4618479993</v>
      </c>
      <c r="I3" s="2" t="n">
        <v>367245.4780671104</v>
      </c>
      <c r="J3" s="5" t="n">
        <v>6.963343423579266e-16</v>
      </c>
      <c r="K3" s="5" t="n">
        <v>1.013853236670733e-16</v>
      </c>
      <c r="L3" s="5" t="n">
        <v>9.860826101742901e-08</v>
      </c>
      <c r="M3" s="2" t="n">
        <v>2.966666666666667</v>
      </c>
      <c r="N3" s="2" t="n">
        <v>8.9</v>
      </c>
      <c r="O3" s="4" t="n">
        <v>0</v>
      </c>
      <c r="P3" s="3" t="n">
        <v>528</v>
      </c>
      <c r="Q3" s="3" t="n">
        <v>528</v>
      </c>
      <c r="R3" s="3" t="n">
        <v>0</v>
      </c>
      <c r="S3" s="4" t="n">
        <v>0</v>
      </c>
      <c r="T3" s="2" t="n">
        <v>2.893700645622847</v>
      </c>
      <c r="U3" s="4" t="n">
        <v>0.206692903258775</v>
      </c>
      <c r="V3" s="3" t="n">
        <v>42</v>
      </c>
      <c r="W3" s="3" t="n">
        <v>90</v>
      </c>
      <c r="X3" s="4" t="n">
        <v>0.04545454545454546</v>
      </c>
      <c r="Y3" s="3" t="n">
        <v>500</v>
      </c>
      <c r="Z3" s="3" t="n">
        <v>4</v>
      </c>
      <c r="AA3" s="3" t="n">
        <v>24</v>
      </c>
      <c r="AB3" s="3" t="inlineStr">
        <is>
          <t>01bc2545a63a17c827b287f1cbe0c0f7bd49348209b9a56c6adb8a582d71ab97</t>
        </is>
      </c>
      <c r="AC3" s="2" t="n">
        <v>0.7200991000281647</v>
      </c>
    </row>
    <row r="4">
      <c r="A4" s="3" t="inlineStr">
        <is>
          <t>load_scan</t>
        </is>
      </c>
      <c r="B4" s="3" t="inlineStr">
        <is>
          <t>first-fit</t>
        </is>
      </c>
      <c r="C4" s="3" t="n">
        <v>5</v>
      </c>
      <c r="D4" s="2" t="n">
        <v>10.5</v>
      </c>
      <c r="E4" s="3" t="n">
        <v>53</v>
      </c>
      <c r="F4" s="2" t="n">
        <v>319476.0124609007</v>
      </c>
      <c r="G4" s="2" t="n">
        <v>319476.0124609007</v>
      </c>
      <c r="H4" s="2" t="n">
        <v>366980.9372370219</v>
      </c>
      <c r="I4" s="2" t="n">
        <v>367245.4780671104</v>
      </c>
      <c r="J4" s="5" t="n">
        <v>1.070989668142875e-15</v>
      </c>
      <c r="K4" s="5" t="n">
        <v>2.522296578942499e-13</v>
      </c>
      <c r="L4" s="5" t="n">
        <v>3.131117037038604e-05</v>
      </c>
      <c r="M4" s="2" t="n">
        <v>4.722222222222222</v>
      </c>
      <c r="N4" s="2" t="n">
        <v>14.16666666666667</v>
      </c>
      <c r="O4" s="4" t="n">
        <v>0</v>
      </c>
      <c r="P4" s="3" t="n">
        <v>887</v>
      </c>
      <c r="Q4" s="3" t="n">
        <v>872</v>
      </c>
      <c r="R4" s="3" t="n">
        <v>15</v>
      </c>
      <c r="S4" s="4" t="n">
        <v>0.01691093573844419</v>
      </c>
      <c r="T4" s="2" t="n">
        <v>4.757867320005857</v>
      </c>
      <c r="U4" s="4" t="n">
        <v>0.339847665714705</v>
      </c>
      <c r="V4" s="3" t="n">
        <v>42</v>
      </c>
      <c r="W4" s="3" t="n">
        <v>90</v>
      </c>
      <c r="X4" s="3" t="n"/>
      <c r="Y4" s="3" t="n"/>
      <c r="Z4" s="3" t="n"/>
      <c r="AA4" s="3" t="n"/>
      <c r="AB4" s="3" t="inlineStr">
        <is>
          <t>d032d369f672c52ea62f2cd0fa7bf736b8f2c47e4b2463a6329dd7ab361f5a93</t>
        </is>
      </c>
      <c r="AC4" s="2" t="n">
        <v>0.5028690000181086</v>
      </c>
    </row>
    <row r="5">
      <c r="A5" s="3" t="inlineStr">
        <is>
          <t>load_scan</t>
        </is>
      </c>
      <c r="B5" s="3" t="inlineStr">
        <is>
          <t>greedy_min_noise</t>
        </is>
      </c>
      <c r="C5" s="3" t="n">
        <v>5</v>
      </c>
      <c r="D5" s="2" t="n">
        <v>10.5</v>
      </c>
      <c r="E5" s="3" t="n">
        <v>53</v>
      </c>
      <c r="F5" s="2" t="n">
        <v>365947.404361447</v>
      </c>
      <c r="G5" s="2" t="n">
        <v>365947.404361447</v>
      </c>
      <c r="H5" s="2" t="n">
        <v>366952.7531842133</v>
      </c>
      <c r="I5" s="2" t="n">
        <v>367245.4780671104</v>
      </c>
      <c r="J5" s="5" t="n">
        <v>1.185322251727347e-15</v>
      </c>
      <c r="K5" s="5" t="n">
        <v>4.317446364187898e-15</v>
      </c>
      <c r="L5" s="5" t="n">
        <v>6.802119430006403e-07</v>
      </c>
      <c r="M5" s="2" t="n">
        <v>4.722222222222222</v>
      </c>
      <c r="N5" s="2" t="n">
        <v>14.16666666666667</v>
      </c>
      <c r="O5" s="4" t="n">
        <v>0</v>
      </c>
      <c r="P5" s="3" t="n">
        <v>887</v>
      </c>
      <c r="Q5" s="3" t="n">
        <v>872</v>
      </c>
      <c r="R5" s="3" t="n">
        <v>15</v>
      </c>
      <c r="S5" s="4" t="n">
        <v>0.01691093573844419</v>
      </c>
      <c r="T5" s="2" t="n">
        <v>4.757867320005857</v>
      </c>
      <c r="U5" s="4" t="n">
        <v>0.339847665714705</v>
      </c>
      <c r="V5" s="3" t="n">
        <v>42</v>
      </c>
      <c r="W5" s="3" t="n">
        <v>90</v>
      </c>
      <c r="X5" s="4" t="n">
        <v>0.2327981651376147</v>
      </c>
      <c r="Y5" s="3" t="n">
        <v>656</v>
      </c>
      <c r="Z5" s="3" t="n">
        <v>13</v>
      </c>
      <c r="AA5" s="3" t="n">
        <v>203</v>
      </c>
      <c r="AB5" s="3" t="inlineStr">
        <is>
          <t>d032d369f672c52ea62f2cd0fa7bf736b8f2c47e4b2463a6329dd7ab361f5a93</t>
        </is>
      </c>
      <c r="AC5" s="2" t="n">
        <v>1.118648500007112</v>
      </c>
    </row>
    <row r="6">
      <c r="A6" s="3" t="inlineStr">
        <is>
          <t>load_scan</t>
        </is>
      </c>
      <c r="B6" s="3" t="inlineStr">
        <is>
          <t>first-fit</t>
        </is>
      </c>
      <c r="C6" s="3" t="n">
        <v>7</v>
      </c>
      <c r="D6" s="2" t="n">
        <v>10.5</v>
      </c>
      <c r="E6" s="3" t="n">
        <v>53</v>
      </c>
      <c r="F6" s="2" t="n">
        <v>275973.0439051677</v>
      </c>
      <c r="G6" s="2" t="n">
        <v>275973.0439051677</v>
      </c>
      <c r="H6" s="2" t="n">
        <v>366874.3293714835</v>
      </c>
      <c r="I6" s="2" t="n">
        <v>367245.4780671104</v>
      </c>
      <c r="J6" s="5" t="n">
        <v>1.502946041020048e-15</v>
      </c>
      <c r="K6" s="5" t="n">
        <v>5.024036732507632e-13</v>
      </c>
      <c r="L6" s="5" t="n">
        <v>6.228924465549927e-05</v>
      </c>
      <c r="M6" s="2" t="n">
        <v>6.511111111111111</v>
      </c>
      <c r="N6" s="2" t="n">
        <v>19.53333333333333</v>
      </c>
      <c r="O6" s="4" t="n">
        <v>0</v>
      </c>
      <c r="P6" s="3" t="n">
        <v>1244</v>
      </c>
      <c r="Q6" s="3" t="n">
        <v>1194</v>
      </c>
      <c r="R6" s="3" t="n">
        <v>50</v>
      </c>
      <c r="S6" s="4" t="n">
        <v>0.04019292604501608</v>
      </c>
      <c r="T6" s="2" t="n">
        <v>6.475256934088652</v>
      </c>
      <c r="U6" s="4" t="n">
        <v>0.4625183524349041</v>
      </c>
      <c r="V6" s="3" t="n">
        <v>42</v>
      </c>
      <c r="W6" s="3" t="n">
        <v>90</v>
      </c>
      <c r="X6" s="3" t="n"/>
      <c r="Y6" s="3" t="n"/>
      <c r="Z6" s="3" t="n"/>
      <c r="AA6" s="3" t="n"/>
      <c r="AB6" s="3" t="inlineStr">
        <is>
          <t>ceca3a1dfc7d7858635d91228d26089d4f0f75ed7cd7afe55efe896ef73a75c9</t>
        </is>
      </c>
      <c r="AC6" s="2" t="n">
        <v>0.6770166999776848</v>
      </c>
    </row>
    <row r="7">
      <c r="A7" s="3" t="inlineStr">
        <is>
          <t>load_scan</t>
        </is>
      </c>
      <c r="B7" s="3" t="inlineStr">
        <is>
          <t>greedy_min_noise</t>
        </is>
      </c>
      <c r="C7" s="3" t="n">
        <v>7</v>
      </c>
      <c r="D7" s="2" t="n">
        <v>10.5</v>
      </c>
      <c r="E7" s="3" t="n">
        <v>53</v>
      </c>
      <c r="F7" s="2" t="n">
        <v>360824.5945655299</v>
      </c>
      <c r="G7" s="2" t="n">
        <v>360824.5945655299</v>
      </c>
      <c r="H7" s="2" t="n">
        <v>366853.6190529856</v>
      </c>
      <c r="I7" s="2" t="n">
        <v>367245.4780671104</v>
      </c>
      <c r="J7" s="5" t="n">
        <v>1.587073742132572e-15</v>
      </c>
      <c r="K7" s="5" t="n">
        <v>2.697738211868319e-14</v>
      </c>
      <c r="L7" s="5" t="n">
        <v>3.530928770227758e-06</v>
      </c>
      <c r="M7" s="2" t="n">
        <v>6.511111111111111</v>
      </c>
      <c r="N7" s="2" t="n">
        <v>19.53333333333333</v>
      </c>
      <c r="O7" s="4" t="n">
        <v>0</v>
      </c>
      <c r="P7" s="3" t="n">
        <v>1244</v>
      </c>
      <c r="Q7" s="3" t="n">
        <v>1194</v>
      </c>
      <c r="R7" s="3" t="n">
        <v>50</v>
      </c>
      <c r="S7" s="4" t="n">
        <v>0.04019292604501608</v>
      </c>
      <c r="T7" s="2" t="n">
        <v>6.475256934088652</v>
      </c>
      <c r="U7" s="4" t="n">
        <v>0.4625183524349041</v>
      </c>
      <c r="V7" s="3" t="n">
        <v>42</v>
      </c>
      <c r="W7" s="3" t="n">
        <v>90</v>
      </c>
      <c r="X7" s="4" t="n">
        <v>0.4187604690117253</v>
      </c>
      <c r="Y7" s="3" t="n">
        <v>634</v>
      </c>
      <c r="Z7" s="3" t="n">
        <v>60</v>
      </c>
      <c r="AA7" s="3" t="n">
        <v>500</v>
      </c>
      <c r="AB7" s="3" t="inlineStr">
        <is>
          <t>ceca3a1dfc7d7858635d91228d26089d4f0f75ed7cd7afe55efe896ef73a75c9</t>
        </is>
      </c>
      <c r="AC7" s="2" t="n">
        <v>1.523532399965916</v>
      </c>
    </row>
    <row r="8">
      <c r="A8" s="3" t="inlineStr">
        <is>
          <t>load_scan</t>
        </is>
      </c>
      <c r="B8" s="3" t="inlineStr">
        <is>
          <t>first-fit</t>
        </is>
      </c>
      <c r="C8" s="3" t="n">
        <v>8</v>
      </c>
      <c r="D8" s="2" t="n">
        <v>10.5</v>
      </c>
      <c r="E8" s="3" t="n">
        <v>53</v>
      </c>
      <c r="F8" s="2" t="n">
        <v>263713.2380333244</v>
      </c>
      <c r="G8" s="2" t="n">
        <v>263713.2380333244</v>
      </c>
      <c r="H8" s="2" t="n">
        <v>366822.9362451736</v>
      </c>
      <c r="I8" s="2" t="n">
        <v>367245.4780671104</v>
      </c>
      <c r="J8" s="5" t="n">
        <v>1.711212693005278e-15</v>
      </c>
      <c r="K8" s="5" t="n">
        <v>5.628621825602158e-13</v>
      </c>
      <c r="L8" s="5" t="n">
        <v>6.978842705487598e-05</v>
      </c>
      <c r="M8" s="2" t="n">
        <v>7.377777777777778</v>
      </c>
      <c r="N8" s="2" t="n">
        <v>22.13333333333333</v>
      </c>
      <c r="O8" s="4" t="n">
        <v>0</v>
      </c>
      <c r="P8" s="3" t="n">
        <v>1403</v>
      </c>
      <c r="Q8" s="3" t="n">
        <v>1318</v>
      </c>
      <c r="R8" s="3" t="n">
        <v>85</v>
      </c>
      <c r="S8" s="4" t="n">
        <v>0.06058446186742694</v>
      </c>
      <c r="T8" s="2" t="n">
        <v>7.175413948227667</v>
      </c>
      <c r="U8" s="4" t="n">
        <v>0.5125295677305476</v>
      </c>
      <c r="V8" s="3" t="n">
        <v>42</v>
      </c>
      <c r="W8" s="3" t="n">
        <v>90</v>
      </c>
      <c r="X8" s="3" t="n"/>
      <c r="Y8" s="3" t="n"/>
      <c r="Z8" s="3" t="n"/>
      <c r="AA8" s="3" t="n"/>
      <c r="AB8" s="3" t="inlineStr">
        <is>
          <t>1cfa506b11716ec15f824f7482635d487acf5dad7dc54b836aeeff89b82e53a3</t>
        </is>
      </c>
      <c r="AC8" s="2" t="n">
        <v>0.7161086000269279</v>
      </c>
    </row>
    <row r="9">
      <c r="A9" s="3" t="inlineStr">
        <is>
          <t>load_scan</t>
        </is>
      </c>
      <c r="B9" s="3" t="inlineStr">
        <is>
          <t>greedy_min_noise</t>
        </is>
      </c>
      <c r="C9" s="3" t="n">
        <v>8</v>
      </c>
      <c r="D9" s="2" t="n">
        <v>10.5</v>
      </c>
      <c r="E9" s="3" t="n">
        <v>53</v>
      </c>
      <c r="F9" s="2" t="n">
        <v>360956.8732460455</v>
      </c>
      <c r="G9" s="2" t="n">
        <v>360956.8732460455</v>
      </c>
      <c r="H9" s="2" t="n">
        <v>366794.8528823581</v>
      </c>
      <c r="I9" s="2" t="n">
        <v>367245.4780671104</v>
      </c>
      <c r="J9" s="5" t="n">
        <v>1.825224950811256e-15</v>
      </c>
      <c r="K9" s="5" t="n">
        <v>2.546195281140604e-14</v>
      </c>
      <c r="L9" s="5" t="n">
        <v>3.373041009022061e-06</v>
      </c>
      <c r="M9" s="2" t="n">
        <v>7.377777777777778</v>
      </c>
      <c r="N9" s="2" t="n">
        <v>22.13333333333333</v>
      </c>
      <c r="O9" s="4" t="n">
        <v>0</v>
      </c>
      <c r="P9" s="3" t="n">
        <v>1403</v>
      </c>
      <c r="Q9" s="3" t="n">
        <v>1318</v>
      </c>
      <c r="R9" s="3" t="n">
        <v>85</v>
      </c>
      <c r="S9" s="4" t="n">
        <v>0.06058446186742694</v>
      </c>
      <c r="T9" s="2" t="n">
        <v>7.175413948227667</v>
      </c>
      <c r="U9" s="4" t="n">
        <v>0.5125295677305476</v>
      </c>
      <c r="V9" s="3" t="n">
        <v>42</v>
      </c>
      <c r="W9" s="3" t="n">
        <v>90</v>
      </c>
      <c r="X9" s="4" t="n">
        <v>0.5151745068285281</v>
      </c>
      <c r="Y9" s="3" t="n">
        <v>583</v>
      </c>
      <c r="Z9" s="3" t="n">
        <v>56</v>
      </c>
      <c r="AA9" s="3" t="n">
        <v>679</v>
      </c>
      <c r="AB9" s="3" t="inlineStr">
        <is>
          <t>1cfa506b11716ec15f824f7482635d487acf5dad7dc54b836aeeff89b82e53a3</t>
        </is>
      </c>
      <c r="AC9" s="2" t="n">
        <v>1.635567100020126</v>
      </c>
    </row>
    <row r="10">
      <c r="A10" s="3" t="inlineStr">
        <is>
          <t>load_scan</t>
        </is>
      </c>
      <c r="B10" s="3" t="inlineStr">
        <is>
          <t>first-fit</t>
        </is>
      </c>
      <c r="C10" s="3" t="n">
        <v>10</v>
      </c>
      <c r="D10" s="2" t="n">
        <v>10.5</v>
      </c>
      <c r="E10" s="3" t="n">
        <v>53</v>
      </c>
      <c r="F10" s="2" t="n">
        <v>246288.7192794713</v>
      </c>
      <c r="G10" s="2" t="n">
        <v>246288.7192794713</v>
      </c>
      <c r="H10" s="2" t="n">
        <v>366758.395449255</v>
      </c>
      <c r="I10" s="2" t="n">
        <v>367245.4780671104</v>
      </c>
      <c r="J10" s="5" t="n">
        <v>1.972854461425404e-15</v>
      </c>
      <c r="K10" s="5" t="n">
        <v>6.680950058595933e-13</v>
      </c>
      <c r="L10" s="5" t="n">
        <v>8.282887997380079e-05</v>
      </c>
      <c r="M10" s="2" t="n">
        <v>8.388888888888889</v>
      </c>
      <c r="N10" s="2" t="n">
        <v>25.16666666666667</v>
      </c>
      <c r="O10" s="4" t="n">
        <v>0</v>
      </c>
      <c r="P10" s="3" t="n">
        <v>1747</v>
      </c>
      <c r="Q10" s="3" t="n">
        <v>1554</v>
      </c>
      <c r="R10" s="3" t="n">
        <v>193</v>
      </c>
      <c r="S10" s="4" t="n">
        <v>0.1104751001717229</v>
      </c>
      <c r="T10" s="2" t="n">
        <v>8.471615584501372</v>
      </c>
      <c r="U10" s="4" t="n">
        <v>0.6051153988929555</v>
      </c>
      <c r="V10" s="3" t="n">
        <v>42</v>
      </c>
      <c r="W10" s="3" t="n">
        <v>90</v>
      </c>
      <c r="X10" s="3" t="n"/>
      <c r="Y10" s="3" t="n"/>
      <c r="Z10" s="3" t="n"/>
      <c r="AA10" s="3" t="n"/>
      <c r="AB10" s="3" t="inlineStr">
        <is>
          <t>3fd3bfd6ed6b4c00339ff4fe99adb2172d4f4897edf452c8ed84b5e70762c49e</t>
        </is>
      </c>
      <c r="AC10" s="2" t="n">
        <v>0.9896834000246599</v>
      </c>
    </row>
    <row r="11">
      <c r="A11" s="3" t="inlineStr">
        <is>
          <t>load_scan</t>
        </is>
      </c>
      <c r="B11" s="3" t="inlineStr">
        <is>
          <t>greedy_min_noise</t>
        </is>
      </c>
      <c r="C11" s="3" t="n">
        <v>10</v>
      </c>
      <c r="D11" s="2" t="n">
        <v>10.5</v>
      </c>
      <c r="E11" s="3" t="n">
        <v>53</v>
      </c>
      <c r="F11" s="2" t="n">
        <v>353885.7176017345</v>
      </c>
      <c r="G11" s="2" t="n">
        <v>353885.7176017345</v>
      </c>
      <c r="H11" s="2" t="n">
        <v>366737.5056862323</v>
      </c>
      <c r="I11" s="2" t="n">
        <v>367245.4780671104</v>
      </c>
      <c r="J11" s="5" t="n">
        <v>2.057730492292996e-15</v>
      </c>
      <c r="K11" s="5" t="n">
        <v>5.714341727282027e-14</v>
      </c>
      <c r="L11" s="5" t="n">
        <v>7.318012178943477e-06</v>
      </c>
      <c r="M11" s="2" t="n">
        <v>8.388888888888889</v>
      </c>
      <c r="N11" s="2" t="n">
        <v>25.16666666666667</v>
      </c>
      <c r="O11" s="4" t="n">
        <v>0</v>
      </c>
      <c r="P11" s="3" t="n">
        <v>1747</v>
      </c>
      <c r="Q11" s="3" t="n">
        <v>1554</v>
      </c>
      <c r="R11" s="3" t="n">
        <v>193</v>
      </c>
      <c r="S11" s="4" t="n">
        <v>0.1104751001717229</v>
      </c>
      <c r="T11" s="2" t="n">
        <v>8.471615584501372</v>
      </c>
      <c r="U11" s="4" t="n">
        <v>0.6051153988929555</v>
      </c>
      <c r="V11" s="3" t="n">
        <v>42</v>
      </c>
      <c r="W11" s="3" t="n">
        <v>90</v>
      </c>
      <c r="X11" s="4" t="n">
        <v>0.6435006435006435</v>
      </c>
      <c r="Y11" s="3" t="n">
        <v>482</v>
      </c>
      <c r="Z11" s="3" t="n">
        <v>72</v>
      </c>
      <c r="AA11" s="3" t="n">
        <v>1000</v>
      </c>
      <c r="AB11" s="3" t="inlineStr">
        <is>
          <t>3fd3bfd6ed6b4c00339ff4fe99adb2172d4f4897edf452c8ed84b5e70762c49e</t>
        </is>
      </c>
      <c r="AC11" s="2" t="n">
        <v>1.734803700004704</v>
      </c>
    </row>
    <row r="12">
      <c r="A12" s="3" t="inlineStr">
        <is>
          <t>load_scan</t>
        </is>
      </c>
      <c r="B12" s="3" t="inlineStr">
        <is>
          <t>first-fit</t>
        </is>
      </c>
      <c r="C12" s="3" t="n">
        <v>12</v>
      </c>
      <c r="D12" s="2" t="n">
        <v>10.5</v>
      </c>
      <c r="E12" s="3" t="n">
        <v>53</v>
      </c>
      <c r="F12" s="2" t="n">
        <v>217107.8950666618</v>
      </c>
      <c r="G12" s="2" t="n">
        <v>217107.8950666618</v>
      </c>
      <c r="H12" s="2" t="n">
        <v>366698.7714641223</v>
      </c>
      <c r="I12" s="2" t="n">
        <v>367245.4780671104</v>
      </c>
      <c r="J12" s="5" t="n">
        <v>2.214683811888707e-15</v>
      </c>
      <c r="K12" s="5" t="n">
        <v>8.306050826842345e-13</v>
      </c>
      <c r="L12" s="5" t="n">
        <v>0.0001029470782942317</v>
      </c>
      <c r="M12" s="2" t="n">
        <v>9.266666666666667</v>
      </c>
      <c r="N12" s="2" t="n">
        <v>27.8</v>
      </c>
      <c r="O12" s="4" t="n">
        <v>0</v>
      </c>
      <c r="P12" s="3" t="n">
        <v>2099</v>
      </c>
      <c r="Q12" s="3" t="n">
        <v>1725</v>
      </c>
      <c r="R12" s="3" t="n">
        <v>374</v>
      </c>
      <c r="S12" s="4" t="n">
        <v>0.1781800857551215</v>
      </c>
      <c r="T12" s="2" t="n">
        <v>9.28529279946958</v>
      </c>
      <c r="U12" s="4" t="n">
        <v>0.6632351999621143</v>
      </c>
      <c r="V12" s="3" t="n">
        <v>42</v>
      </c>
      <c r="W12" s="3" t="n">
        <v>90</v>
      </c>
      <c r="X12" s="3" t="n"/>
      <c r="Y12" s="3" t="n"/>
      <c r="Z12" s="3" t="n"/>
      <c r="AA12" s="3" t="n"/>
      <c r="AB12" s="3" t="inlineStr">
        <is>
          <t>3c5613bb3bd141f9874c3a9285b6d5590ca1a93e35404b78b883218884614bcd</t>
        </is>
      </c>
      <c r="AC12" s="2" t="n">
        <v>1.082403199980035</v>
      </c>
    </row>
    <row r="13">
      <c r="A13" s="3" t="inlineStr">
        <is>
          <t>load_scan</t>
        </is>
      </c>
      <c r="B13" s="3" t="inlineStr">
        <is>
          <t>greedy_min_noise</t>
        </is>
      </c>
      <c r="C13" s="3" t="n">
        <v>12</v>
      </c>
      <c r="D13" s="2" t="n">
        <v>10.5</v>
      </c>
      <c r="E13" s="3" t="n">
        <v>53</v>
      </c>
      <c r="F13" s="2" t="n">
        <v>346449.005634668</v>
      </c>
      <c r="G13" s="2" t="n">
        <v>346449.005634668</v>
      </c>
      <c r="H13" s="2" t="n">
        <v>366687.0979296341</v>
      </c>
      <c r="I13" s="2" t="n">
        <v>367245.4780671104</v>
      </c>
      <c r="J13" s="5" t="n">
        <v>2.262161189048788e-15</v>
      </c>
      <c r="K13" s="5" t="n">
        <v>9.134356934560834e-14</v>
      </c>
      <c r="L13" s="5" t="n">
        <v>1.157085465284157e-05</v>
      </c>
      <c r="M13" s="2" t="n">
        <v>9.266666666666667</v>
      </c>
      <c r="N13" s="2" t="n">
        <v>27.8</v>
      </c>
      <c r="O13" s="4" t="n">
        <v>0</v>
      </c>
      <c r="P13" s="3" t="n">
        <v>2099</v>
      </c>
      <c r="Q13" s="3" t="n">
        <v>1725</v>
      </c>
      <c r="R13" s="3" t="n">
        <v>374</v>
      </c>
      <c r="S13" s="4" t="n">
        <v>0.1781800857551215</v>
      </c>
      <c r="T13" s="2" t="n">
        <v>9.28529279946958</v>
      </c>
      <c r="U13" s="4" t="n">
        <v>0.6632351999621143</v>
      </c>
      <c r="V13" s="3" t="n">
        <v>42</v>
      </c>
      <c r="W13" s="3" t="n">
        <v>90</v>
      </c>
      <c r="X13" s="4" t="n">
        <v>0.721159420289855</v>
      </c>
      <c r="Y13" s="3" t="n">
        <v>422</v>
      </c>
      <c r="Z13" s="3" t="n">
        <v>59</v>
      </c>
      <c r="AA13" s="3" t="n">
        <v>1244</v>
      </c>
      <c r="AB13" s="3" t="inlineStr">
        <is>
          <t>3c5613bb3bd141f9874c3a9285b6d5590ca1a93e35404b78b883218884614bcd</t>
        </is>
      </c>
      <c r="AC13" s="2" t="n">
        <v>1.973011200025212</v>
      </c>
    </row>
    <row r="14">
      <c r="A14" s="3" t="inlineStr">
        <is>
          <t>load_scan</t>
        </is>
      </c>
      <c r="B14" s="3" t="inlineStr">
        <is>
          <t>first-fit</t>
        </is>
      </c>
      <c r="C14" s="3" t="n">
        <v>13</v>
      </c>
      <c r="D14" s="2" t="n">
        <v>10.5</v>
      </c>
      <c r="E14" s="3" t="n">
        <v>53</v>
      </c>
      <c r="F14" s="2" t="n">
        <v>213999.8643171664</v>
      </c>
      <c r="G14" s="2" t="n">
        <v>213999.8643171664</v>
      </c>
      <c r="H14" s="2" t="n">
        <v>366651.3567011624</v>
      </c>
      <c r="I14" s="2" t="n">
        <v>367245.4780671104</v>
      </c>
      <c r="J14" s="5" t="n">
        <v>2.406934826882023e-15</v>
      </c>
      <c r="K14" s="5" t="n">
        <v>8.628055369102411e-13</v>
      </c>
      <c r="L14" s="5" t="n">
        <v>0.0001069512272070718</v>
      </c>
      <c r="M14" s="2" t="n">
        <v>9.944444444444445</v>
      </c>
      <c r="N14" s="2" t="n">
        <v>29.83333333333333</v>
      </c>
      <c r="O14" s="4" t="n">
        <v>0</v>
      </c>
      <c r="P14" s="3" t="n">
        <v>2278</v>
      </c>
      <c r="Q14" s="3" t="n">
        <v>1807</v>
      </c>
      <c r="R14" s="3" t="n">
        <v>471</v>
      </c>
      <c r="S14" s="4" t="n">
        <v>0.2067603160667252</v>
      </c>
      <c r="T14" s="2" t="n">
        <v>9.814272046952366</v>
      </c>
      <c r="U14" s="4" t="n">
        <v>0.7010194319251698</v>
      </c>
      <c r="V14" s="3" t="n">
        <v>42</v>
      </c>
      <c r="W14" s="3" t="n">
        <v>90</v>
      </c>
      <c r="X14" s="3" t="n"/>
      <c r="Y14" s="3" t="n"/>
      <c r="Z14" s="3" t="n"/>
      <c r="AA14" s="3" t="n"/>
      <c r="AB14" s="3" t="inlineStr">
        <is>
          <t>9827dc556ef18735aaa57685bce01f19012448ca21d88918a4e98fde0a2c472c</t>
        </is>
      </c>
      <c r="AC14" s="2" t="n">
        <v>1.154833200038411</v>
      </c>
    </row>
    <row r="15">
      <c r="A15" s="3" t="inlineStr">
        <is>
          <t>load_scan</t>
        </is>
      </c>
      <c r="B15" s="3" t="inlineStr">
        <is>
          <t>greedy_min_noise</t>
        </is>
      </c>
      <c r="C15" s="3" t="n">
        <v>13</v>
      </c>
      <c r="D15" s="2" t="n">
        <v>10.5</v>
      </c>
      <c r="E15" s="3" t="n">
        <v>53</v>
      </c>
      <c r="F15" s="2" t="n">
        <v>340709.1904507462</v>
      </c>
      <c r="G15" s="2" t="n">
        <v>340709.1904507462</v>
      </c>
      <c r="H15" s="2" t="n">
        <v>366645.4930387347</v>
      </c>
      <c r="I15" s="2" t="n">
        <v>367245.4780671104</v>
      </c>
      <c r="J15" s="5" t="n">
        <v>2.430850518499179e-15</v>
      </c>
      <c r="K15" s="5" t="n">
        <v>1.172104611536245e-13</v>
      </c>
      <c r="L15" s="5" t="n">
        <v>1.478918245631244e-05</v>
      </c>
      <c r="M15" s="2" t="n">
        <v>9.944444444444445</v>
      </c>
      <c r="N15" s="2" t="n">
        <v>29.83333333333333</v>
      </c>
      <c r="O15" s="4" t="n">
        <v>0</v>
      </c>
      <c r="P15" s="3" t="n">
        <v>2278</v>
      </c>
      <c r="Q15" s="3" t="n">
        <v>1807</v>
      </c>
      <c r="R15" s="3" t="n">
        <v>471</v>
      </c>
      <c r="S15" s="4" t="n">
        <v>0.2067603160667252</v>
      </c>
      <c r="T15" s="2" t="n">
        <v>9.814272046952366</v>
      </c>
      <c r="U15" s="4" t="n">
        <v>0.7010194319251698</v>
      </c>
      <c r="V15" s="3" t="n">
        <v>42</v>
      </c>
      <c r="W15" s="3" t="n">
        <v>90</v>
      </c>
      <c r="X15" s="4" t="n">
        <v>0.7791920309905921</v>
      </c>
      <c r="Y15" s="3" t="n">
        <v>338</v>
      </c>
      <c r="Z15" s="3" t="n">
        <v>61</v>
      </c>
      <c r="AA15" s="3" t="n">
        <v>1408</v>
      </c>
      <c r="AB15" s="3" t="inlineStr">
        <is>
          <t>9827dc556ef18735aaa57685bce01f19012448ca21d88918a4e98fde0a2c472c</t>
        </is>
      </c>
      <c r="AC15" s="2" t="n">
        <v>1.976970400020946</v>
      </c>
    </row>
    <row r="16">
      <c r="A16" s="3" t="inlineStr">
        <is>
          <t>power_scan</t>
        </is>
      </c>
      <c r="B16" s="3" t="inlineStr">
        <is>
          <t>first-fit</t>
        </is>
      </c>
      <c r="C16" s="3" t="n">
        <v>10</v>
      </c>
      <c r="D16" s="3" t="n">
        <v>7</v>
      </c>
      <c r="E16" s="3" t="n">
        <v>53</v>
      </c>
      <c r="F16" s="2" t="n">
        <v>353127.189516985</v>
      </c>
      <c r="G16" s="2" t="n">
        <v>353127.189516985</v>
      </c>
      <c r="H16" s="2" t="n">
        <v>367027.7526347312</v>
      </c>
      <c r="I16" s="2" t="n">
        <v>367245.4780671104</v>
      </c>
      <c r="J16" s="5" t="n">
        <v>8.81241757280484e-16</v>
      </c>
      <c r="K16" s="5" t="n">
        <v>5.954403919159172e-14</v>
      </c>
      <c r="L16" s="5" t="n">
        <v>7.469330555116513e-06</v>
      </c>
      <c r="M16" s="2" t="n">
        <v>8.388888888888889</v>
      </c>
      <c r="N16" s="2" t="n">
        <v>25.16666666666667</v>
      </c>
      <c r="O16" s="4" t="n">
        <v>0</v>
      </c>
      <c r="P16" s="3" t="n">
        <v>1747</v>
      </c>
      <c r="Q16" s="3" t="n">
        <v>1554</v>
      </c>
      <c r="R16" s="3" t="n">
        <v>193</v>
      </c>
      <c r="S16" s="4" t="n">
        <v>0.1104751001717229</v>
      </c>
      <c r="T16" s="2" t="n">
        <v>8.471615584501372</v>
      </c>
      <c r="U16" s="4" t="n">
        <v>0.6051153988929555</v>
      </c>
      <c r="V16" s="3" t="n">
        <v>42</v>
      </c>
      <c r="W16" s="3" t="n">
        <v>90</v>
      </c>
      <c r="X16" s="3" t="n"/>
      <c r="Y16" s="3" t="n"/>
      <c r="Z16" s="3" t="n"/>
      <c r="AA16" s="3" t="n"/>
      <c r="AB16" s="3" t="inlineStr">
        <is>
          <t>3fd3bfd6ed6b4c00339ff4fe99adb2172d4f4897edf452c8ed84b5e70762c49e</t>
        </is>
      </c>
      <c r="AC16" s="2" t="n">
        <v>0.9397485999506898</v>
      </c>
    </row>
    <row r="17">
      <c r="A17" s="3" t="inlineStr">
        <is>
          <t>power_scan</t>
        </is>
      </c>
      <c r="B17" s="3" t="inlineStr">
        <is>
          <t>greedy_min_noise</t>
        </is>
      </c>
      <c r="C17" s="3" t="n">
        <v>10</v>
      </c>
      <c r="D17" s="3" t="n">
        <v>7</v>
      </c>
      <c r="E17" s="3" t="n">
        <v>53</v>
      </c>
      <c r="F17" s="2" t="n">
        <v>365774.1510602497</v>
      </c>
      <c r="G17" s="2" t="n">
        <v>365774.1510602497</v>
      </c>
      <c r="H17" s="2" t="n">
        <v>367018.3988043628</v>
      </c>
      <c r="I17" s="2" t="n">
        <v>367245.4780671104</v>
      </c>
      <c r="J17" s="5" t="n">
        <v>9.191544893421832e-16</v>
      </c>
      <c r="K17" s="5" t="n">
        <v>5.092913132622218e-15</v>
      </c>
      <c r="L17" s="5" t="n">
        <v>7.431677550024451e-07</v>
      </c>
      <c r="M17" s="2" t="n">
        <v>8.388888888888889</v>
      </c>
      <c r="N17" s="2" t="n">
        <v>25.16666666666667</v>
      </c>
      <c r="O17" s="4" t="n">
        <v>0</v>
      </c>
      <c r="P17" s="3" t="n">
        <v>1747</v>
      </c>
      <c r="Q17" s="3" t="n">
        <v>1554</v>
      </c>
      <c r="R17" s="3" t="n">
        <v>193</v>
      </c>
      <c r="S17" s="4" t="n">
        <v>0.1104751001717229</v>
      </c>
      <c r="T17" s="2" t="n">
        <v>8.471615584501372</v>
      </c>
      <c r="U17" s="4" t="n">
        <v>0.6051153988929555</v>
      </c>
      <c r="V17" s="3" t="n">
        <v>42</v>
      </c>
      <c r="W17" s="3" t="n">
        <v>90</v>
      </c>
      <c r="X17" s="4" t="n">
        <v>0.6435006435006435</v>
      </c>
      <c r="Y17" s="3" t="n">
        <v>482</v>
      </c>
      <c r="Z17" s="3" t="n">
        <v>72</v>
      </c>
      <c r="AA17" s="3" t="n">
        <v>1000</v>
      </c>
      <c r="AB17" s="3" t="inlineStr">
        <is>
          <t>3fd3bfd6ed6b4c00339ff4fe99adb2172d4f4897edf452c8ed84b5e70762c49e</t>
        </is>
      </c>
      <c r="AC17" s="2" t="n">
        <v>2.067605399992317</v>
      </c>
    </row>
    <row r="18">
      <c r="A18" s="3" t="inlineStr">
        <is>
          <t>power_scan</t>
        </is>
      </c>
      <c r="B18" s="3" t="inlineStr">
        <is>
          <t>first-fit</t>
        </is>
      </c>
      <c r="C18" s="3" t="n">
        <v>10</v>
      </c>
      <c r="D18" s="3" t="n">
        <v>8</v>
      </c>
      <c r="E18" s="3" t="n">
        <v>53</v>
      </c>
      <c r="F18" s="2" t="n">
        <v>340404.6422849984</v>
      </c>
      <c r="G18" s="2" t="n">
        <v>340404.6422849984</v>
      </c>
      <c r="H18" s="2" t="n">
        <v>366971.4184896075</v>
      </c>
      <c r="I18" s="2" t="n">
        <v>367245.4780671104</v>
      </c>
      <c r="J18" s="5" t="n">
        <v>1.109417647123625e-15</v>
      </c>
      <c r="K18" s="5" t="n">
        <v>1.188059744691597e-13</v>
      </c>
      <c r="L18" s="5" t="n">
        <v>1.482306227290533e-05</v>
      </c>
      <c r="M18" s="2" t="n">
        <v>8.388888888888889</v>
      </c>
      <c r="N18" s="2" t="n">
        <v>25.16666666666667</v>
      </c>
      <c r="O18" s="4" t="n">
        <v>0</v>
      </c>
      <c r="P18" s="3" t="n">
        <v>1747</v>
      </c>
      <c r="Q18" s="3" t="n">
        <v>1554</v>
      </c>
      <c r="R18" s="3" t="n">
        <v>193</v>
      </c>
      <c r="S18" s="4" t="n">
        <v>0.1104751001717229</v>
      </c>
      <c r="T18" s="2" t="n">
        <v>8.471615584501372</v>
      </c>
      <c r="U18" s="4" t="n">
        <v>0.6051153988929555</v>
      </c>
      <c r="V18" s="3" t="n">
        <v>42</v>
      </c>
      <c r="W18" s="3" t="n">
        <v>90</v>
      </c>
      <c r="X18" s="3" t="n"/>
      <c r="Y18" s="3" t="n"/>
      <c r="Z18" s="3" t="n"/>
      <c r="AA18" s="3" t="n"/>
      <c r="AB18" s="3" t="inlineStr">
        <is>
          <t>3fd3bfd6ed6b4c00339ff4fe99adb2172d4f4897edf452c8ed84b5e70762c49e</t>
        </is>
      </c>
      <c r="AC18" s="2" t="n">
        <v>1.117360999982338</v>
      </c>
    </row>
    <row r="19">
      <c r="A19" s="3" t="inlineStr">
        <is>
          <t>power_scan</t>
        </is>
      </c>
      <c r="B19" s="3" t="inlineStr">
        <is>
          <t>greedy_min_noise</t>
        </is>
      </c>
      <c r="C19" s="3" t="n">
        <v>10</v>
      </c>
      <c r="D19" s="3" t="n">
        <v>8</v>
      </c>
      <c r="E19" s="3" t="n">
        <v>53</v>
      </c>
      <c r="F19" s="2" t="n">
        <v>364502.3878195557</v>
      </c>
      <c r="G19" s="2" t="n">
        <v>364502.3878195557</v>
      </c>
      <c r="H19" s="2" t="n">
        <v>366959.6487153901</v>
      </c>
      <c r="I19" s="2" t="n">
        <v>367245.4780671104</v>
      </c>
      <c r="J19" s="5" t="n">
        <v>1.15714694915956e-15</v>
      </c>
      <c r="K19" s="5" t="n">
        <v>1.016169794652368e-14</v>
      </c>
      <c r="L19" s="5" t="n">
        <v>1.399152684113905e-06</v>
      </c>
      <c r="M19" s="2" t="n">
        <v>8.388888888888889</v>
      </c>
      <c r="N19" s="2" t="n">
        <v>25.16666666666667</v>
      </c>
      <c r="O19" s="4" t="n">
        <v>0</v>
      </c>
      <c r="P19" s="3" t="n">
        <v>1747</v>
      </c>
      <c r="Q19" s="3" t="n">
        <v>1554</v>
      </c>
      <c r="R19" s="3" t="n">
        <v>193</v>
      </c>
      <c r="S19" s="4" t="n">
        <v>0.1104751001717229</v>
      </c>
      <c r="T19" s="2" t="n">
        <v>8.471615584501372</v>
      </c>
      <c r="U19" s="4" t="n">
        <v>0.6051153988929555</v>
      </c>
      <c r="V19" s="3" t="n">
        <v>42</v>
      </c>
      <c r="W19" s="3" t="n">
        <v>90</v>
      </c>
      <c r="X19" s="4" t="n">
        <v>0.6435006435006435</v>
      </c>
      <c r="Y19" s="3" t="n">
        <v>482</v>
      </c>
      <c r="Z19" s="3" t="n">
        <v>72</v>
      </c>
      <c r="AA19" s="3" t="n">
        <v>1000</v>
      </c>
      <c r="AB19" s="3" t="inlineStr">
        <is>
          <t>3fd3bfd6ed6b4c00339ff4fe99adb2172d4f4897edf452c8ed84b5e70762c49e</t>
        </is>
      </c>
      <c r="AC19" s="2" t="n">
        <v>1.996371200017165</v>
      </c>
    </row>
    <row r="20">
      <c r="A20" s="3" t="inlineStr">
        <is>
          <t>power_scan</t>
        </is>
      </c>
      <c r="B20" s="3" t="inlineStr">
        <is>
          <t>first-fit</t>
        </is>
      </c>
      <c r="C20" s="3" t="n">
        <v>10</v>
      </c>
      <c r="D20" s="3" t="n">
        <v>9</v>
      </c>
      <c r="E20" s="3" t="n">
        <v>53</v>
      </c>
      <c r="F20" s="2" t="n">
        <v>317271.037102271</v>
      </c>
      <c r="G20" s="2" t="n">
        <v>317271.037102271</v>
      </c>
      <c r="H20" s="2" t="n">
        <v>366900.5216414013</v>
      </c>
      <c r="I20" s="2" t="n">
        <v>367245.4780671104</v>
      </c>
      <c r="J20" s="5" t="n">
        <v>1.396673969533715e-15</v>
      </c>
      <c r="K20" s="5" t="n">
        <v>2.370490383477684e-13</v>
      </c>
      <c r="L20" s="5" t="n">
        <v>2.947491210268652e-05</v>
      </c>
      <c r="M20" s="2" t="n">
        <v>8.388888888888889</v>
      </c>
      <c r="N20" s="2" t="n">
        <v>25.16666666666667</v>
      </c>
      <c r="O20" s="4" t="n">
        <v>0</v>
      </c>
      <c r="P20" s="3" t="n">
        <v>1747</v>
      </c>
      <c r="Q20" s="3" t="n">
        <v>1554</v>
      </c>
      <c r="R20" s="3" t="n">
        <v>193</v>
      </c>
      <c r="S20" s="4" t="n">
        <v>0.1104751001717229</v>
      </c>
      <c r="T20" s="2" t="n">
        <v>8.471615584501372</v>
      </c>
      <c r="U20" s="4" t="n">
        <v>0.6051153988929555</v>
      </c>
      <c r="V20" s="3" t="n">
        <v>42</v>
      </c>
      <c r="W20" s="3" t="n">
        <v>90</v>
      </c>
      <c r="X20" s="3" t="n"/>
      <c r="Y20" s="3" t="n"/>
      <c r="Z20" s="3" t="n"/>
      <c r="AA20" s="3" t="n"/>
      <c r="AB20" s="3" t="inlineStr">
        <is>
          <t>3fd3bfd6ed6b4c00339ff4fe99adb2172d4f4897edf452c8ed84b5e70762c49e</t>
        </is>
      </c>
      <c r="AC20" s="2" t="n">
        <v>0.9791828999877907</v>
      </c>
    </row>
    <row r="21">
      <c r="A21" s="3" t="inlineStr">
        <is>
          <t>power_scan</t>
        </is>
      </c>
      <c r="B21" s="3" t="inlineStr">
        <is>
          <t>greedy_min_noise</t>
        </is>
      </c>
      <c r="C21" s="3" t="n">
        <v>10</v>
      </c>
      <c r="D21" s="3" t="n">
        <v>9</v>
      </c>
      <c r="E21" s="3" t="n">
        <v>53</v>
      </c>
      <c r="F21" s="2" t="n">
        <v>362072.7799115979</v>
      </c>
      <c r="G21" s="2" t="n">
        <v>362072.7799115979</v>
      </c>
      <c r="H21" s="2" t="n">
        <v>366885.7138630323</v>
      </c>
      <c r="I21" s="2" t="n">
        <v>367245.4780671104</v>
      </c>
      <c r="J21" s="5" t="n">
        <v>1.456761596506693e-15</v>
      </c>
      <c r="K21" s="5" t="n">
        <v>2.027524789244043e-14</v>
      </c>
      <c r="L21" s="5" t="n">
        <v>2.686351804259247e-06</v>
      </c>
      <c r="M21" s="2" t="n">
        <v>8.388888888888889</v>
      </c>
      <c r="N21" s="2" t="n">
        <v>25.16666666666667</v>
      </c>
      <c r="O21" s="4" t="n">
        <v>0</v>
      </c>
      <c r="P21" s="3" t="n">
        <v>1747</v>
      </c>
      <c r="Q21" s="3" t="n">
        <v>1554</v>
      </c>
      <c r="R21" s="3" t="n">
        <v>193</v>
      </c>
      <c r="S21" s="4" t="n">
        <v>0.1104751001717229</v>
      </c>
      <c r="T21" s="2" t="n">
        <v>8.471615584501372</v>
      </c>
      <c r="U21" s="4" t="n">
        <v>0.6051153988929555</v>
      </c>
      <c r="V21" s="3" t="n">
        <v>42</v>
      </c>
      <c r="W21" s="3" t="n">
        <v>90</v>
      </c>
      <c r="X21" s="4" t="n">
        <v>0.6435006435006435</v>
      </c>
      <c r="Y21" s="3" t="n">
        <v>482</v>
      </c>
      <c r="Z21" s="3" t="n">
        <v>72</v>
      </c>
      <c r="AA21" s="3" t="n">
        <v>1000</v>
      </c>
      <c r="AB21" s="3" t="inlineStr">
        <is>
          <t>3fd3bfd6ed6b4c00339ff4fe99adb2172d4f4897edf452c8ed84b5e70762c49e</t>
        </is>
      </c>
      <c r="AC21" s="2" t="n">
        <v>1.996059099968988</v>
      </c>
    </row>
    <row r="22">
      <c r="A22" s="3" t="inlineStr">
        <is>
          <t>power_scan</t>
        </is>
      </c>
      <c r="B22" s="3" t="inlineStr">
        <is>
          <t>first-fit</t>
        </is>
      </c>
      <c r="C22" s="3" t="n">
        <v>10</v>
      </c>
      <c r="D22" s="3" t="n">
        <v>10</v>
      </c>
      <c r="E22" s="3" t="n">
        <v>53</v>
      </c>
      <c r="F22" s="2" t="n">
        <v>276546.7609467118</v>
      </c>
      <c r="G22" s="2" t="n">
        <v>276546.7609467118</v>
      </c>
      <c r="H22" s="2" t="n">
        <v>366811.3051066482</v>
      </c>
      <c r="I22" s="2" t="n">
        <v>367245.4780671104</v>
      </c>
      <c r="J22" s="5" t="n">
        <v>1.758308411081813e-15</v>
      </c>
      <c r="K22" s="5" t="n">
        <v>4.72975053466667e-13</v>
      </c>
      <c r="L22" s="5" t="n">
        <v>5.868306029734458e-05</v>
      </c>
      <c r="M22" s="2" t="n">
        <v>8.388888888888889</v>
      </c>
      <c r="N22" s="2" t="n">
        <v>25.16666666666667</v>
      </c>
      <c r="O22" s="4" t="n">
        <v>0</v>
      </c>
      <c r="P22" s="3" t="n">
        <v>1747</v>
      </c>
      <c r="Q22" s="3" t="n">
        <v>1554</v>
      </c>
      <c r="R22" s="3" t="n">
        <v>193</v>
      </c>
      <c r="S22" s="4" t="n">
        <v>0.1104751001717229</v>
      </c>
      <c r="T22" s="2" t="n">
        <v>8.471615584501372</v>
      </c>
      <c r="U22" s="4" t="n">
        <v>0.6051153988929555</v>
      </c>
      <c r="V22" s="3" t="n">
        <v>42</v>
      </c>
      <c r="W22" s="3" t="n">
        <v>90</v>
      </c>
      <c r="X22" s="3" t="n"/>
      <c r="Y22" s="3" t="n"/>
      <c r="Z22" s="3" t="n"/>
      <c r="AA22" s="3" t="n"/>
      <c r="AB22" s="3" t="inlineStr">
        <is>
          <t>3fd3bfd6ed6b4c00339ff4fe99adb2172d4f4897edf452c8ed84b5e70762c49e</t>
        </is>
      </c>
      <c r="AC22" s="2" t="n">
        <v>0.9742293000454083</v>
      </c>
    </row>
    <row r="23">
      <c r="A23" s="3" t="inlineStr">
        <is>
          <t>power_scan</t>
        </is>
      </c>
      <c r="B23" s="3" t="inlineStr">
        <is>
          <t>greedy_min_noise</t>
        </is>
      </c>
      <c r="C23" s="3" t="n">
        <v>10</v>
      </c>
      <c r="D23" s="3" t="n">
        <v>10</v>
      </c>
      <c r="E23" s="3" t="n">
        <v>53</v>
      </c>
      <c r="F23" s="2" t="n">
        <v>357488.2203383146</v>
      </c>
      <c r="G23" s="2" t="n">
        <v>357488.2203383146</v>
      </c>
      <c r="H23" s="2" t="n">
        <v>366792.6782123389</v>
      </c>
      <c r="I23" s="2" t="n">
        <v>367245.4780671104</v>
      </c>
      <c r="J23" s="5" t="n">
        <v>1.833954254144103e-15</v>
      </c>
      <c r="K23" s="5" t="n">
        <v>4.045444634022956e-14</v>
      </c>
      <c r="L23" s="5" t="n">
        <v>5.227382276531358e-06</v>
      </c>
      <c r="M23" s="2" t="n">
        <v>8.388888888888889</v>
      </c>
      <c r="N23" s="2" t="n">
        <v>25.16666666666667</v>
      </c>
      <c r="O23" s="4" t="n">
        <v>0</v>
      </c>
      <c r="P23" s="3" t="n">
        <v>1747</v>
      </c>
      <c r="Q23" s="3" t="n">
        <v>1554</v>
      </c>
      <c r="R23" s="3" t="n">
        <v>193</v>
      </c>
      <c r="S23" s="4" t="n">
        <v>0.1104751001717229</v>
      </c>
      <c r="T23" s="2" t="n">
        <v>8.471615584501372</v>
      </c>
      <c r="U23" s="4" t="n">
        <v>0.6051153988929555</v>
      </c>
      <c r="V23" s="3" t="n">
        <v>42</v>
      </c>
      <c r="W23" s="3" t="n">
        <v>90</v>
      </c>
      <c r="X23" s="4" t="n">
        <v>0.6435006435006435</v>
      </c>
      <c r="Y23" s="3" t="n">
        <v>482</v>
      </c>
      <c r="Z23" s="3" t="n">
        <v>72</v>
      </c>
      <c r="AA23" s="3" t="n">
        <v>1000</v>
      </c>
      <c r="AB23" s="3" t="inlineStr">
        <is>
          <t>3fd3bfd6ed6b4c00339ff4fe99adb2172d4f4897edf452c8ed84b5e70762c49e</t>
        </is>
      </c>
      <c r="AC23" s="2" t="n">
        <v>1.947723399964161</v>
      </c>
    </row>
    <row r="24">
      <c r="A24" s="3" t="inlineStr">
        <is>
          <t>power_scan</t>
        </is>
      </c>
      <c r="B24" s="3" t="inlineStr">
        <is>
          <t>first-fit</t>
        </is>
      </c>
      <c r="C24" s="3" t="n">
        <v>10</v>
      </c>
      <c r="D24" s="2" t="n">
        <v>10.5</v>
      </c>
      <c r="E24" s="3" t="n">
        <v>53</v>
      </c>
      <c r="F24" s="2" t="n">
        <v>246288.7192794713</v>
      </c>
      <c r="G24" s="2" t="n">
        <v>246288.7192794713</v>
      </c>
      <c r="H24" s="2" t="n">
        <v>366758.395449255</v>
      </c>
      <c r="I24" s="2" t="n">
        <v>367245.4780671104</v>
      </c>
      <c r="J24" s="5" t="n">
        <v>1.972854461425404e-15</v>
      </c>
      <c r="K24" s="5" t="n">
        <v>6.680950058595933e-13</v>
      </c>
      <c r="L24" s="5" t="n">
        <v>8.282887997380079e-05</v>
      </c>
      <c r="M24" s="2" t="n">
        <v>8.388888888888889</v>
      </c>
      <c r="N24" s="2" t="n">
        <v>25.16666666666667</v>
      </c>
      <c r="O24" s="4" t="n">
        <v>0</v>
      </c>
      <c r="P24" s="3" t="n">
        <v>1747</v>
      </c>
      <c r="Q24" s="3" t="n">
        <v>1554</v>
      </c>
      <c r="R24" s="3" t="n">
        <v>193</v>
      </c>
      <c r="S24" s="4" t="n">
        <v>0.1104751001717229</v>
      </c>
      <c r="T24" s="2" t="n">
        <v>8.471615584501372</v>
      </c>
      <c r="U24" s="4" t="n">
        <v>0.6051153988929555</v>
      </c>
      <c r="V24" s="3" t="n">
        <v>42</v>
      </c>
      <c r="W24" s="3" t="n">
        <v>90</v>
      </c>
      <c r="X24" s="3" t="n"/>
      <c r="Y24" s="3" t="n"/>
      <c r="Z24" s="3" t="n"/>
      <c r="AA24" s="3" t="n"/>
      <c r="AB24" s="3" t="inlineStr">
        <is>
          <t>3fd3bfd6ed6b4c00339ff4fe99adb2172d4f4897edf452c8ed84b5e70762c49e</t>
        </is>
      </c>
      <c r="AC24" s="2" t="n">
        <v>1.105869200022426</v>
      </c>
    </row>
    <row r="25">
      <c r="A25" s="3" t="inlineStr">
        <is>
          <t>power_scan</t>
        </is>
      </c>
      <c r="B25" s="3" t="inlineStr">
        <is>
          <t>greedy_min_noise</t>
        </is>
      </c>
      <c r="C25" s="3" t="n">
        <v>10</v>
      </c>
      <c r="D25" s="2" t="n">
        <v>10.5</v>
      </c>
      <c r="E25" s="3" t="n">
        <v>53</v>
      </c>
      <c r="F25" s="2" t="n">
        <v>353885.7176017345</v>
      </c>
      <c r="G25" s="2" t="n">
        <v>353885.7176017345</v>
      </c>
      <c r="H25" s="2" t="n">
        <v>366737.5056862323</v>
      </c>
      <c r="I25" s="2" t="n">
        <v>367245.4780671104</v>
      </c>
      <c r="J25" s="5" t="n">
        <v>2.057730492292996e-15</v>
      </c>
      <c r="K25" s="5" t="n">
        <v>5.714341727282027e-14</v>
      </c>
      <c r="L25" s="5" t="n">
        <v>7.318012178943477e-06</v>
      </c>
      <c r="M25" s="2" t="n">
        <v>8.388888888888889</v>
      </c>
      <c r="N25" s="2" t="n">
        <v>25.16666666666667</v>
      </c>
      <c r="O25" s="4" t="n">
        <v>0</v>
      </c>
      <c r="P25" s="3" t="n">
        <v>1747</v>
      </c>
      <c r="Q25" s="3" t="n">
        <v>1554</v>
      </c>
      <c r="R25" s="3" t="n">
        <v>193</v>
      </c>
      <c r="S25" s="4" t="n">
        <v>0.1104751001717229</v>
      </c>
      <c r="T25" s="2" t="n">
        <v>8.471615584501372</v>
      </c>
      <c r="U25" s="4" t="n">
        <v>0.6051153988929555</v>
      </c>
      <c r="V25" s="3" t="n">
        <v>42</v>
      </c>
      <c r="W25" s="3" t="n">
        <v>90</v>
      </c>
      <c r="X25" s="4" t="n">
        <v>0.6435006435006435</v>
      </c>
      <c r="Y25" s="3" t="n">
        <v>482</v>
      </c>
      <c r="Z25" s="3" t="n">
        <v>72</v>
      </c>
      <c r="AA25" s="3" t="n">
        <v>1000</v>
      </c>
      <c r="AB25" s="3" t="inlineStr">
        <is>
          <t>3fd3bfd6ed6b4c00339ff4fe99adb2172d4f4897edf452c8ed84b5e70762c49e</t>
        </is>
      </c>
      <c r="AC25" s="2" t="n">
        <v>2.231164800003171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5" customWidth="1" min="2" max="2"/>
  </cols>
  <sheetData>
    <row r="1" ht="42" customHeight="1">
      <c r="A1" s="1" t="inlineStr">
        <is>
          <t>parameter</t>
        </is>
      </c>
      <c r="B1" s="1" t="inlineStr">
        <is>
          <t>value</t>
        </is>
      </c>
    </row>
    <row r="2" ht="22" customHeight="1">
      <c r="A2" s="6" t="inlineStr">
        <is>
          <t>loads_erlang</t>
        </is>
      </c>
      <c r="B2" s="6" t="inlineStr">
        <is>
          <t>[3, 5, 7, 8, 10, 12, 13]</t>
        </is>
      </c>
    </row>
    <row r="3" ht="22" customHeight="1">
      <c r="A3" s="6" t="inlineStr">
        <is>
          <t>powers_dbm</t>
        </is>
      </c>
      <c r="B3" s="6" t="inlineStr">
        <is>
          <t>[7, 8, 9, 10, 10.5]</t>
        </is>
      </c>
    </row>
    <row r="4" ht="22" customHeight="1">
      <c r="A4" s="6" t="inlineStr">
        <is>
          <t>fixed_load_erlang</t>
        </is>
      </c>
      <c r="B4" s="6" t="n">
        <v>10</v>
      </c>
    </row>
    <row r="5" ht="22" customHeight="1">
      <c r="A5" s="6" t="inlineStr">
        <is>
          <t>fixed_power_dbm</t>
        </is>
      </c>
      <c r="B5" s="7" t="n">
        <v>10.5</v>
      </c>
    </row>
    <row r="6" ht="22" customHeight="1">
      <c r="A6" s="6" t="inlineStr">
        <is>
          <t>seeds</t>
        </is>
      </c>
      <c r="B6" s="6" t="inlineStr">
        <is>
          <t>[53]</t>
        </is>
      </c>
    </row>
    <row r="7" ht="22" customHeight="1">
      <c r="A7" s="6" t="inlineStr">
        <is>
          <t>slots</t>
        </is>
      </c>
      <c r="B7" s="6" t="n">
        <v>100</v>
      </c>
    </row>
    <row r="8" ht="22" customHeight="1">
      <c r="A8" s="6" t="inlineStr">
        <is>
          <t>warmup</t>
        </is>
      </c>
      <c r="B8" s="6" t="n">
        <v>10</v>
      </c>
    </row>
    <row r="9" ht="22" customHeight="1">
      <c r="A9" s="6" t="inlineStr">
        <is>
          <t>holding_time</t>
        </is>
      </c>
      <c r="B9" s="7" t="n">
        <v>0.5</v>
      </c>
    </row>
    <row r="10" ht="22" customHeight="1">
      <c r="A10" s="6" t="inlineStr">
        <is>
          <t>length_km</t>
        </is>
      </c>
      <c r="B10" s="6" t="n">
        <v>10</v>
      </c>
    </row>
    <row r="11" ht="22" customHeight="1">
      <c r="A11" s="6" t="inlineStr">
        <is>
          <t>algorithms</t>
        </is>
      </c>
      <c r="B11" s="6" t="inlineStr">
        <is>
          <t>["FF", "GREEDY_MIN_NOISE"]</t>
        </is>
      </c>
    </row>
    <row r="12" ht="30" customHeight="1">
      <c r="A12" s="6" t="inlineStr">
        <is>
          <t>skr_definition</t>
        </is>
      </c>
      <c r="B12" s="6" t="inlineStr">
        <is>
          <t>Time mean of slot-end total SKR after warmup; each quantum channel clipped at zero; undirected links counted once</t>
        </is>
      </c>
    </row>
    <row r="13" ht="22" customHeight="1">
      <c r="A13" s="6" t="inlineStr">
        <is>
          <t>skr_units</t>
        </is>
      </c>
      <c r="B13" s="6" t="inlineStr">
        <is>
          <t>Sweep sheets/figures: kbit/s; Runs and trace JSON: bit/s. Not accumulated secret bits.</t>
        </is>
      </c>
    </row>
    <row r="14" ht="22" customHeight="1">
      <c r="A14" s="6" t="inlineStr">
        <is>
          <t>uncertainty</t>
        </is>
      </c>
      <c r="B14" s="6" t="inlineStr">
        <is>
          <t>Equal-weight seed means; sample SD across seeds, blank for one seed; not a confidence interval</t>
        </is>
      </c>
    </row>
    <row r="15" ht="22" customHeight="1">
      <c r="A15" s="6" t="inlineStr">
        <is>
          <t>gain_definition</t>
        </is>
      </c>
      <c r="B15" s="6" t="inlineStr">
        <is>
          <t>Ratio of seed mean SKR minus one; blank if baseline absent or zero</t>
        </is>
      </c>
    </row>
    <row r="16" ht="22" customHeight="1">
      <c r="A16" s="6" t="inlineStr">
        <is>
          <t>blank_definition</t>
        </is>
      </c>
      <c r="B16" s="6" t="inlineStr">
        <is>
          <t>Unavailable or undefined, not zero</t>
        </is>
      </c>
    </row>
    <row r="17" ht="22" customHeight="1">
      <c r="A17" s="6" t="inlineStr">
        <is>
          <t>timing</t>
        </is>
      </c>
      <c r="B17" s="6" t="inlineStr">
        <is>
          <t>Full warmup and resource transitions retained; experiment duration maps linearly to simulation time</t>
        </is>
      </c>
    </row>
    <row r="18" ht="22" customHeight="1">
      <c r="A18" s="6" t="inlineStr">
        <is>
          <t>power_reference</t>
        </is>
      </c>
      <c r="B18" s="6" t="inlineStr">
        <is>
          <t>Per core per classical channel at fiber input, dBm</t>
        </is>
      </c>
    </row>
    <row r="19" ht="135" customHeight="1">
      <c r="A19" s="6" t="inlineStr">
        <is>
          <t>source_sha256</t>
        </is>
      </c>
      <c r="B19" s="6" t="inlineStr">
        <is>
          <t>{"main.py": "91faf83aa3c9545862ea80c2612f8847a690adaebc1a31224bfaf1e675787bfb", "traffic_scan.py": "285bd04f6b86bfe389ca2b726d4c502b49a06e4eadcc31e87543c25df45b1d46", "traffic_export.py": "b9e5b539b262af74f1aad9d269b95c975ac7c8f5d29a19e9f3839c908f5a7814", "algorithm.py": "533c860125a154f25a0843dc3ef10c7f53c8e5b38862e9905eeb849c89ea50a3", "noise_calculation.py": "162cfe37507127bddb1c06a2a58bab8e73e46867be4b891e0c31d2153308e652", "skr_calculation.py": "5ab72341a83056485d0a6ccba01719cce531d613b46c1585a79871778bbc11a9", "core_layout.py": "011ad15273955adc6d463397b16559b5b241a8ff5be5784c2ae68a372452fbdd", "topology.py": "d3ba11d205fd411e967f57689af5f4d0dfa1db0ac5e28a9d7d171fba47d94063", "topology7.json": "c20e6f4dff9c541a60d82832ae83a3f84e88e6c371dcbc31436d4dde0286a64d", "Ramancrosssection25GHz（25GHz间隔）.xls": "92eac325243a838994790720e1018fcf6119e15275e746e994c9ce51fc609f79"}</t>
        </is>
      </c>
    </row>
    <row r="20" ht="22" customHeight="1">
      <c r="A20" s="6" t="inlineStr">
        <is>
          <t>allocation_mode</t>
        </is>
      </c>
      <c r="B20" s="6" t="inlineStr">
        <is>
          <t>three_core_bound</t>
        </is>
      </c>
    </row>
    <row r="21" ht="22" customHeight="1">
      <c r="A21" s="6" t="inlineStr">
        <is>
          <t>traffic_unit</t>
        </is>
      </c>
      <c r="B21" s="6" t="inlineStr">
        <is>
          <t>three_core_business_group</t>
        </is>
      </c>
    </row>
    <row r="22" ht="22" customHeight="1">
      <c r="A22" s="6" t="inlineStr">
        <is>
          <t>load_definition</t>
        </is>
      </c>
      <c r="B22" s="6" t="inlineStr">
        <is>
          <t>Erlang of three-core business groups; A = group arrival rate * mean holding time</t>
        </is>
      </c>
    </row>
    <row r="23" ht="22" customHeight="1">
      <c r="A23" s="6" t="inlineStr">
        <is>
          <t>default_load_scaling</t>
        </is>
      </c>
      <c r="B23" s="6" t="inlineStr">
        <is>
          <t>Legacy single-core loads / 3, rounded to nearest integer; explicit loads are already group loads</t>
        </is>
      </c>
    </row>
    <row r="24" ht="22" customHeight="1">
      <c r="A24" s="6" t="inlineStr">
        <is>
          <t>carried_load_definition</t>
        </is>
      </c>
      <c r="B24" s="6" t="inlineStr">
        <is>
          <t>Integral of active accepted groups / observation duration</t>
        </is>
      </c>
    </row>
    <row r="25" ht="22" customHeight="1">
      <c r="A25" s="6" t="inlineStr">
        <is>
          <t>resource_definition</t>
        </is>
      </c>
      <c r="B25" s="6" t="inlineStr">
        <is>
          <t>capacity and occupied_channels count physical core-channel slots; utilization includes all three cores</t>
        </is>
      </c>
    </row>
    <row r="26" ht="22" customHeight="1">
      <c r="A26" s="6" t="inlineStr">
        <is>
          <t>blocking_rate_limit</t>
        </is>
      </c>
      <c r="B26" s="7" t="n">
        <v>0.05</v>
      </c>
    </row>
    <row r="27" ht="22" customHeight="1">
      <c r="A27" s="6" t="inlineStr">
        <is>
          <t>blocking_definition</t>
        </is>
      </c>
      <c r="B27" s="6" t="inlineStr">
        <is>
          <t>Blocked three-core group arrivals / offered group arrivals in [warmup, slots); not packet loss or BER</t>
        </is>
      </c>
    </row>
    <row r="28" ht="22" customHeight="1">
      <c r="A28" s="6" t="inlineStr">
        <is>
          <t>blocking_limit_definition</t>
        </is>
      </c>
      <c r="B28" s="6" t="inlineStr">
        <is>
          <t>User-selected experiment target, strictly below 5%; not an enforced admission rule or universal standard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2026-09-22T07:20:39Z</dcterms:created>
  <dcterms:modified xsi:type="dcterms:W3CDTF">2026-09-22T07:20:40Z</dcterms:modified>
</cp:coreProperties>
</file>